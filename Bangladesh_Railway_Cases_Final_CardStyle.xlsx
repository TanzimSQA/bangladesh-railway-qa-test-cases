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NEON\Downloads\"/>
    </mc:Choice>
  </mc:AlternateContent>
  <xr:revisionPtr revIDLastSave="0" documentId="13_ncr:1_{E5D8087C-6383-46E2-8A27-2FD21BFA2EBF}" xr6:coauthVersionLast="47" xr6:coauthVersionMax="47" xr10:uidLastSave="{00000000-0000-0000-0000-000000000000}"/>
  <bookViews>
    <workbookView xWindow="-110" yWindow="-110" windowWidth="19420" windowHeight="10300" tabRatio="812" activeTab="6" xr2:uid="{00000000-000D-0000-FFFF-FFFF00000000}"/>
  </bookViews>
  <sheets>
    <sheet name="Test Plan" sheetId="1" r:id="rId1"/>
    <sheet name="Mind Map" sheetId="4" r:id="rId2"/>
    <sheet name="Test Cases" sheetId="6" r:id="rId3"/>
    <sheet name="Bug Report" sheetId="9" r:id="rId4"/>
    <sheet name="Test Matrix" sheetId="2" r:id="rId5"/>
    <sheet name="Test Case Report" sheetId="3" r:id="rId6"/>
    <sheet name="Test Metrics"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5" l="1"/>
  <c r="L238" i="6"/>
  <c r="L237" i="6"/>
  <c r="L236" i="6"/>
  <c r="L235" i="6"/>
  <c r="L234" i="6"/>
  <c r="L233" i="6"/>
  <c r="L231" i="6"/>
  <c r="L230" i="6"/>
  <c r="L229" i="6"/>
  <c r="L228" i="6"/>
  <c r="L227" i="6"/>
  <c r="L226" i="6"/>
  <c r="L225" i="6"/>
  <c r="L224" i="6"/>
  <c r="L223" i="6"/>
  <c r="L222" i="6"/>
  <c r="L221" i="6"/>
  <c r="L220" i="6"/>
  <c r="L219" i="6"/>
  <c r="L218" i="6"/>
  <c r="L217" i="6"/>
  <c r="L216" i="6"/>
  <c r="L215" i="6"/>
  <c r="L214" i="6"/>
  <c r="L213" i="6"/>
  <c r="L212" i="6"/>
  <c r="L211" i="6"/>
  <c r="L210" i="6"/>
  <c r="L209" i="6"/>
  <c r="L208" i="6"/>
  <c r="L207" i="6"/>
  <c r="L206" i="6"/>
  <c r="L205" i="6"/>
  <c r="L204" i="6"/>
  <c r="L203" i="6"/>
  <c r="L202" i="6"/>
  <c r="L201" i="6"/>
  <c r="L200" i="6"/>
  <c r="L199" i="6"/>
  <c r="L198" i="6"/>
  <c r="L197" i="6"/>
  <c r="L196" i="6"/>
  <c r="L195" i="6"/>
  <c r="L194" i="6"/>
  <c r="L193" i="6"/>
  <c r="L192" i="6"/>
  <c r="L191" i="6"/>
  <c r="L190" i="6"/>
  <c r="L189" i="6"/>
  <c r="L188" i="6"/>
  <c r="L187" i="6"/>
  <c r="L186" i="6"/>
  <c r="L185" i="6"/>
  <c r="L184" i="6"/>
  <c r="L183" i="6"/>
  <c r="L182" i="6"/>
  <c r="L181" i="6"/>
  <c r="L180" i="6"/>
  <c r="L179" i="6"/>
  <c r="L178" i="6"/>
  <c r="L177" i="6"/>
  <c r="L176" i="6"/>
  <c r="L175" i="6"/>
  <c r="L174" i="6"/>
  <c r="L173" i="6"/>
  <c r="L172" i="6"/>
  <c r="L171" i="6"/>
  <c r="L170" i="6"/>
  <c r="L169" i="6"/>
  <c r="L168" i="6"/>
  <c r="L167" i="6"/>
  <c r="L166" i="6"/>
  <c r="L165" i="6"/>
  <c r="L164" i="6"/>
  <c r="L163" i="6"/>
  <c r="L162" i="6"/>
  <c r="L161" i="6"/>
  <c r="L160" i="6"/>
  <c r="L159" i="6"/>
  <c r="L158" i="6"/>
  <c r="L157" i="6"/>
  <c r="L156" i="6"/>
  <c r="L155" i="6"/>
  <c r="L154" i="6"/>
  <c r="L153" i="6"/>
  <c r="L152" i="6"/>
  <c r="L151" i="6"/>
  <c r="L150" i="6"/>
  <c r="L149" i="6"/>
  <c r="L148" i="6"/>
  <c r="L147" i="6"/>
  <c r="L146" i="6"/>
  <c r="L145" i="6"/>
  <c r="L144" i="6"/>
  <c r="L143" i="6"/>
  <c r="L142" i="6"/>
  <c r="L141" i="6"/>
  <c r="L140" i="6"/>
  <c r="L139" i="6"/>
  <c r="L138" i="6"/>
  <c r="L137" i="6"/>
  <c r="L136" i="6"/>
  <c r="L135" i="6"/>
  <c r="L134" i="6"/>
  <c r="L133" i="6"/>
  <c r="L132" i="6"/>
  <c r="L131" i="6"/>
  <c r="L130" i="6"/>
  <c r="L129" i="6"/>
  <c r="L128" i="6"/>
  <c r="L127" i="6"/>
  <c r="L126" i="6"/>
  <c r="L125" i="6"/>
  <c r="L124" i="6"/>
  <c r="L123" i="6"/>
  <c r="L122" i="6"/>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L92" i="6"/>
  <c r="L91" i="6"/>
  <c r="L90" i="6"/>
  <c r="L89" i="6"/>
  <c r="L88" i="6"/>
  <c r="L87" i="6"/>
  <c r="L86" i="6"/>
  <c r="L85" i="6"/>
  <c r="L84" i="6"/>
  <c r="L83" i="6"/>
  <c r="L80"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7" i="6"/>
  <c r="L46" i="6"/>
  <c r="L45" i="6"/>
  <c r="L44" i="6"/>
  <c r="L43" i="6"/>
  <c r="L42" i="6"/>
  <c r="L41" i="6"/>
  <c r="L40" i="6"/>
  <c r="L39" i="6"/>
  <c r="L38" i="6"/>
  <c r="L37" i="6"/>
  <c r="L36" i="6"/>
  <c r="L35" i="6"/>
  <c r="L34" i="6"/>
  <c r="L33" i="6"/>
  <c r="L32" i="6"/>
  <c r="L31" i="6"/>
  <c r="L30" i="6"/>
  <c r="L29" i="6"/>
  <c r="L28" i="6"/>
  <c r="L27" i="6"/>
  <c r="L26" i="6"/>
  <c r="L25" i="6"/>
  <c r="L20" i="6"/>
  <c r="L19" i="6"/>
  <c r="L18" i="6"/>
  <c r="L17" i="6"/>
  <c r="L16" i="6"/>
  <c r="L15" i="6"/>
  <c r="L14" i="6"/>
  <c r="L13" i="6"/>
  <c r="L12" i="6"/>
  <c r="L11" i="6"/>
  <c r="L10" i="6"/>
  <c r="L9" i="6"/>
  <c r="L8" i="6"/>
  <c r="L4" i="6" l="1"/>
  <c r="B7" i="5"/>
  <c r="L3" i="6"/>
</calcChain>
</file>

<file path=xl/sharedStrings.xml><?xml version="1.0" encoding="utf-8"?>
<sst xmlns="http://schemas.openxmlformats.org/spreadsheetml/2006/main" count="1989" uniqueCount="1337">
  <si>
    <t>TEST PLAN OF BANGLADESH RAILWAY WEB APPLICATION</t>
  </si>
  <si>
    <t>Test Plan ID</t>
  </si>
  <si>
    <t>Object</t>
  </si>
  <si>
    <t>Description</t>
  </si>
  <si>
    <t>TP_01</t>
  </si>
  <si>
    <t>Test Plan Identifier</t>
  </si>
  <si>
    <t>Web application project 001 - Bangladesh Railway E-Ticketing System.</t>
  </si>
  <si>
    <t>TP_02</t>
  </si>
  <si>
    <t>Reference</t>
  </si>
  <si>
    <t>Created based on Bangladesh Railway live portal requirements and user flow.</t>
  </si>
  <si>
    <t>TP_03</t>
  </si>
  <si>
    <t>Introduction</t>
  </si>
  <si>
    <t>Bangladesh Railway e-Ticketing Service allows passengers to search trains, purchase tickets, manage bookings, and request refunds online.</t>
  </si>
  <si>
    <t>TP_04</t>
  </si>
  <si>
    <t>Test Item</t>
  </si>
  <si>
    <t>Web application tested across Chrome, Firefox, Edge browsers on OS Windows 10 &amp; 11 PC.</t>
  </si>
  <si>
    <t>TP_05</t>
  </si>
  <si>
    <t>Features To Be Tested</t>
  </si>
  <si>
    <t>Train Search, Station Autocomplete, Date Picker, Seat Selection, User Auth/Registration, Contact Us, and Refund Support.</t>
  </si>
  <si>
    <t>TP_06</t>
  </si>
  <si>
    <t>Features Not To Be Tested</t>
  </si>
  <si>
    <t>Internal Admin Ticketing Infrastructure and Third-party Payment Gateway Bank Endpoints.</t>
  </si>
  <si>
    <t>TP_07</t>
  </si>
  <si>
    <t>Testing Approach</t>
  </si>
  <si>
    <t>Black-Box Testing methodology focusing on Functional, UI, Security, Boundary, and Validation testing.</t>
  </si>
  <si>
    <t>TP_08</t>
  </si>
  <si>
    <t>Entry Criteria</t>
  </si>
  <si>
    <t>Application is deployed, accessible live at eticket.railway.gov.bd, and test cases/data are prepared.</t>
  </si>
  <si>
    <t>TP_09</t>
  </si>
  <si>
    <t>Exit Criteria</t>
  </si>
  <si>
    <t>100% test execution completed, all critical and high-priority bugs verified and resolved.</t>
  </si>
  <si>
    <t>TP_10</t>
  </si>
  <si>
    <t>Suspension Criteria</t>
  </si>
  <si>
    <t>Testing will be suspended if server downtime exceeds 2 hours or core search functionality is unresponsive.</t>
  </si>
  <si>
    <t>TP_11</t>
  </si>
  <si>
    <t>Roles &amp; Responsibilities</t>
  </si>
  <si>
    <t>SQA Engineer (Tanzim Rahman) is responsible for executing test cases, logging bugs, and preparing test deliverables.</t>
  </si>
  <si>
    <t>TP_12</t>
  </si>
  <si>
    <t>Schedule</t>
  </si>
  <si>
    <t>Test planning and execution scheduled over 3 working days.</t>
  </si>
  <si>
    <t>TP_13</t>
  </si>
  <si>
    <t>Training</t>
  </si>
  <si>
    <t>No special training required; domain knowledge of railway ticketing system applied.</t>
  </si>
  <si>
    <t>TP_14</t>
  </si>
  <si>
    <t>Test Environment</t>
  </si>
  <si>
    <t>Windows 10/11 Desktop PC with Google Chrome, Mozilla Firefox, and MS Edge browsers.</t>
  </si>
  <si>
    <t>TP_15</t>
  </si>
  <si>
    <t>Test Deliverables</t>
  </si>
  <si>
    <t>Test Plan, Mind Map, Test Cases (232 TCs), Test Metrics/Report, Bug Report, and Test Traceability Matrix.</t>
  </si>
  <si>
    <t>TEST MATRIX OF BANGLADESH RAILWAY WEB APPLICATION</t>
  </si>
  <si>
    <t>Test Matrix ID</t>
  </si>
  <si>
    <t>Metrics</t>
  </si>
  <si>
    <t>Result (%)</t>
  </si>
  <si>
    <t>TM_01</t>
  </si>
  <si>
    <t>Percentage of Test Cases Executed</t>
  </si>
  <si>
    <t>(No. of Test Cases Executed / Total no. of Test Cases Written) * 100</t>
  </si>
  <si>
    <t>TM_02</t>
  </si>
  <si>
    <t>Percentage of Test Cases Not Executed</t>
  </si>
  <si>
    <t>(No. of Test Cases not Executed / Total no. of Test Cases Written) * 100</t>
  </si>
  <si>
    <t>TM_03</t>
  </si>
  <si>
    <t>Percentage of Test Cases Passed</t>
  </si>
  <si>
    <t>(No. of Test Cases Passed / Total no. of Test Cases Executed) * 100</t>
  </si>
  <si>
    <t>(222/225)*100 = 98.67</t>
  </si>
  <si>
    <t>TM_04</t>
  </si>
  <si>
    <t>Percentage of Test Cases Failed</t>
  </si>
  <si>
    <t>(No. of Test Cases Failed / Total no. of Test Cases Executed) * 100</t>
  </si>
  <si>
    <t>TM_05</t>
  </si>
  <si>
    <t>Percentage of Test Cases Blocked</t>
  </si>
  <si>
    <t>(No. of Test Cases Blocked / Total no. of Test Cases Executed) * 100</t>
  </si>
  <si>
    <t>(0/225)*100 = 0</t>
  </si>
  <si>
    <t>TM_06</t>
  </si>
  <si>
    <t>Defect Density</t>
  </si>
  <si>
    <t>No. of Defects found / Size (No. of Requirements)</t>
  </si>
  <si>
    <t>N/A</t>
  </si>
  <si>
    <t>TM_07</t>
  </si>
  <si>
    <t>Defect Removal Efficiency (DRE)</t>
  </si>
  <si>
    <t>(Fixed Defects / (Fixed Defects + Missed Defects)) * 100</t>
  </si>
  <si>
    <t>TM_08</t>
  </si>
  <si>
    <t>Defect Leakage</t>
  </si>
  <si>
    <t>(No. of Defects found in UAT/ No. of Defects found in Testing) * 100</t>
  </si>
  <si>
    <t>TM_09</t>
  </si>
  <si>
    <t>Defect Rejection Ratio</t>
  </si>
  <si>
    <t>(No. of Defects Rejected/ Total no. of Defects Raised) * 100</t>
  </si>
  <si>
    <t>TM_10</t>
  </si>
  <si>
    <t>Defect Age</t>
  </si>
  <si>
    <t>Fixed date - Reported date</t>
  </si>
  <si>
    <t>TM_11</t>
  </si>
  <si>
    <t>Customer Satisfaction</t>
  </si>
  <si>
    <t>No. of complaints per Period of Time</t>
  </si>
  <si>
    <t>TEST CASE REPORT OF BANGLADESH RAILWAY WEB APPLICATION</t>
  </si>
  <si>
    <t>Test Case Report</t>
  </si>
  <si>
    <t>Project Name</t>
  </si>
  <si>
    <t>Web application project - Bangladesh Railway E-Ticketing System</t>
  </si>
  <si>
    <t>Project URL</t>
  </si>
  <si>
    <t>https://eticket.railway.gov.bd</t>
  </si>
  <si>
    <t>Features Name</t>
  </si>
  <si>
    <t>Full Railway Platform (Search, Booking, Authentication, Contact Us)</t>
  </si>
  <si>
    <t>TC Written By</t>
  </si>
  <si>
    <t>TC Executed By</t>
  </si>
  <si>
    <t>TANZIM RAHMAN</t>
  </si>
  <si>
    <t>TC Reviewed By</t>
  </si>
  <si>
    <t>TC Written Date</t>
  </si>
  <si>
    <t>26/08/2026</t>
  </si>
  <si>
    <t>TC Execute Date</t>
  </si>
  <si>
    <t>TEST EXECUTION REPORT</t>
  </si>
  <si>
    <t>Test Case</t>
  </si>
  <si>
    <t>PASSED</t>
  </si>
  <si>
    <t>FAILED</t>
  </si>
  <si>
    <t>Not Executed</t>
  </si>
  <si>
    <t>Out Of Scope</t>
  </si>
  <si>
    <t>Total TC</t>
  </si>
  <si>
    <t>Grand Total</t>
  </si>
  <si>
    <t>BANGLADESH RAILWAY - TEST EXECUTION SUMMARY REPORT</t>
  </si>
  <si>
    <t>Metric Name</t>
  </si>
  <si>
    <t>Value</t>
  </si>
  <si>
    <t>Total Test Cases</t>
  </si>
  <si>
    <t>Passed Test Cases</t>
  </si>
  <si>
    <t>Failed Test Cases</t>
  </si>
  <si>
    <t>No Run Test Cases</t>
  </si>
  <si>
    <t>Pass Percentage (%)</t>
  </si>
  <si>
    <t>Bangladesh Railway</t>
  </si>
  <si>
    <t>TC Start Date</t>
  </si>
  <si>
    <t>TC Execution Start Date</t>
  </si>
  <si>
    <t>--</t>
  </si>
  <si>
    <t>STATUS</t>
  </si>
  <si>
    <t>COUNT</t>
  </si>
  <si>
    <t>TC End Date</t>
  </si>
  <si>
    <t>TC Execution End Date</t>
  </si>
  <si>
    <t>Full Platform Validation (309 TCs)</t>
  </si>
  <si>
    <t>Test Case Developed By</t>
  </si>
  <si>
    <t>Browser (tested)</t>
  </si>
  <si>
    <t>Test Case Reviewed By</t>
  </si>
  <si>
    <t>Performance (tested)</t>
  </si>
  <si>
    <t>No</t>
  </si>
  <si>
    <t>NO RUN</t>
  </si>
  <si>
    <t>Test Executed by TANZIM RAHMAN</t>
  </si>
  <si>
    <t>Case ID</t>
  </si>
  <si>
    <t>Module</t>
  </si>
  <si>
    <t>Type of Testing</t>
  </si>
  <si>
    <t>Test Scenario</t>
  </si>
  <si>
    <t>Test Steps</t>
  </si>
  <si>
    <t>Test Data</t>
  </si>
  <si>
    <t>Expected Result</t>
  </si>
  <si>
    <t>Actual Result</t>
  </si>
  <si>
    <t>Bugs Screen Shot</t>
  </si>
  <si>
    <t>Dev Comments</t>
  </si>
  <si>
    <t>Final Status</t>
  </si>
  <si>
    <t>TC-001</t>
  </si>
  <si>
    <t>UI &amp; Layout</t>
  </si>
  <si>
    <t>UI Testing</t>
  </si>
  <si>
    <t>Verify Bangladesh Railway Logo, Header, and Top Navigation Links</t>
  </si>
  <si>
    <t>1. Open desktop browser.
2. Navigate to https://eticket.railway.gov.bd.
3. Observe top navigation bar.
4. Verify logo and 'Bangladesh Railway' title display.
5. Check menu items ('Home', 'Login', 'Register', 'Train Information', 'Contact Us').</t>
  </si>
  <si>
    <t>URL: https://eticket.railway.gov.bd
Browser: Chrome/Firefox/Edge/Brave/Opera Mini</t>
  </si>
  <si>
    <t>Header logo, title, and all top menu links display properly aligned.</t>
  </si>
  <si>
    <t>TC-002</t>
  </si>
  <si>
    <t>Verify Search Card Form Layout and Side Train Illustration</t>
  </si>
  <si>
    <t>1. Open homepage URL.
2. Inspect left-side 'Search Trains' input container.
3. Inspect right-side train graphic banner.
4. Check payment partner logos (bkash, Nagad, Rocket, UPay, VISA, Mastercard, Amex, DBBL Nexus).
5. Confirm overall page visual balance.</t>
  </si>
  <si>
    <t>URL: https://eticket.railway.gov.bd</t>
  </si>
  <si>
    <t>Search card and payment banner graphics display without clipping.</t>
  </si>
  <si>
    <t>TC-003</t>
  </si>
  <si>
    <t>Field Placeholder</t>
  </si>
  <si>
    <t>Verify Placeholder Texts and Dropdown Icons on Search Form</t>
  </si>
  <si>
    <t>1. Open homepage URL.
2. Inspect 'From' field placeholder ('From Station').
3. Inspect 'To' field placeholder ('To Station').
4. Inspect 'Date of Journey' placeholder ('Pick a date') and calendar icon.
5. Inspect 'Choose Class' placeholder ('Choose a Class') and dropdown arrow.</t>
  </si>
  <si>
    <t>Placeholders: 'From Station', 'To Station', 'Pick a date', 'Choose a Class'</t>
  </si>
  <si>
    <t>All placeholder texts and field icons are legible and properly aligned.</t>
  </si>
  <si>
    <t>TC-004</t>
  </si>
  <si>
    <t>From Station</t>
  </si>
  <si>
    <t>Functional Testing</t>
  </si>
  <si>
    <t>Verify Autocomplete Dropdown Search in 'From' Station Field</t>
  </si>
  <si>
    <t>1. Click on 'From Station' input field.
2. Type 'Dhak'.
3. Observe auto-suggestion list popup.
4. Select 'Dhaka' from dropdown options.
5. Confirm field populates with selected station name.</t>
  </si>
  <si>
    <t>Input Query: 'Dhak'
Selected Value: 'Dhaka'</t>
  </si>
  <si>
    <t>Matching stations display in dropdown and populate field on click.</t>
  </si>
  <si>
    <t>TC-005</t>
  </si>
  <si>
    <t>Negative Testing</t>
  </si>
  <si>
    <t>Verify Search Behavior with Non-Existent Station Name in 'From' Field</t>
  </si>
  <si>
    <t>1. Click on 'From Station' field.
2. Type invalid station string 'XYZStation123'.
3. Observe dropdown response.
4. Press Enter or click away.
5. Verify system handles unknown station gracefully.</t>
  </si>
  <si>
    <t>Input Query: 'XYZStation123'</t>
  </si>
  <si>
    <t>Dropdown displays 'No station found' and prevents selection.</t>
  </si>
  <si>
    <t>TC-006</t>
  </si>
  <si>
    <t>To Station</t>
  </si>
  <si>
    <t>Verify Autocomplete Dropdown Search in 'To' Station Field</t>
  </si>
  <si>
    <t>1. Click on 'To Station' input field.
2. Type 'Chitt'.
3. Observe auto-suggestion list popup.
4. Select  'Chattogram' from dropdown.
5. Confirm field populates with selected station.</t>
  </si>
  <si>
    <t>Input Query: 'Chitt'
Selected Value: 'Chattogram'</t>
  </si>
  <si>
    <t>Matching station displays and populates field correctly.</t>
  </si>
  <si>
    <t>TC-007</t>
  </si>
  <si>
    <t>Station Selection</t>
  </si>
  <si>
    <t>Validation Testing</t>
  </si>
  <si>
    <t>Verify Error when 'From' and 'To' Stations are Selected as Same</t>
  </si>
  <si>
    <t>1. Select 'Dhaka' in 'From' station field.
2. Select 'Dhaka' in 'To' station field.
3. Select valid Date of Journey.
4. Select valid Class.
5. Click 'SEARCH TRAINS' button.</t>
  </si>
  <si>
    <t>From: Dhaka | To: Dhaka</t>
  </si>
  <si>
    <t>From and To station cannot be same' validation error displayed.</t>
  </si>
  <si>
    <t>TC-008</t>
  </si>
  <si>
    <t>Date of Journey</t>
  </si>
  <si>
    <t>Verify Date Selection via Calendar Picker Tool</t>
  </si>
  <si>
    <t>1. Click on 'Pick a date' field or calendar icon.
2. Observe interactive calendar popup.
3. Click on available date .
4. Verify selected date formats correctly in field.</t>
  </si>
  <si>
    <t>Selected Date: Tomorrow's Date</t>
  </si>
  <si>
    <t>Date picker opens and populates field with chosen date.</t>
  </si>
  <si>
    <t>TC-009</t>
  </si>
  <si>
    <t>Boundary Testing</t>
  </si>
  <si>
    <t>Verify Advance Booking Date Boundary Limit (Max 10 Days Advance)</t>
  </si>
  <si>
    <t>1. Click on 'Date of Journey' field.
2. Check enabled dates in calendar popup.
3. Inspect dates beyond 10 days in advance.
4. Verify future dates beyond allowed limit are disabled/greyed out.
5. Attempt selecting disabled date.</t>
  </si>
  <si>
    <t>Target Date: Today + 15 Days</t>
  </si>
  <si>
    <t>Dates beyond advance 10 days +  booking window are unselectable.</t>
  </si>
  <si>
    <t>TC-010</t>
  </si>
  <si>
    <t>Verify Prevention of Selecting Past Dates for Journey</t>
  </si>
  <si>
    <t>1. Open 'Date of Journey' calendar popup.
2. Inspect yesterday's and previous dates.
3. Verify past dates are disabled/greyed out.
4. Attempt typing past date manually if field editable.
5. Verify system rejects past date.</t>
  </si>
  <si>
    <t>Target Date: Yesterday's Date</t>
  </si>
  <si>
    <t>Past dates are disabled and cannot be chosen for train search.</t>
  </si>
  <si>
    <t>TC-011</t>
  </si>
  <si>
    <t>Choose Class</t>
  </si>
  <si>
    <t>Verify Class Selection Options Dropdown List</t>
  </si>
  <si>
    <t>1. Click on 'Choose Class' dropdown field.
2. Verify available seat classes in list ('AC_S', 'S_CHAIR', 'AC_B', 'F_BERTH', 'SHOVON', etc.).
3. Click 'AC_CHAIR'.
4. Confirm field updates with selected class.</t>
  </si>
  <si>
    <t>Selected Option: 'AC_CHAIR'</t>
  </si>
  <si>
    <t>All standard Bangladesh Railway seat classes listed and selectable.</t>
  </si>
  <si>
    <t>TC-012</t>
  </si>
  <si>
    <t>Train Search</t>
  </si>
  <si>
    <t>End-to-End Testing</t>
  </si>
  <si>
    <t>Verify Successful Train Search with All Valid Search Parameters</t>
  </si>
  <si>
    <t>1. Select valid 'From' station ( Dhaka).
2. Select valid 'To' station ( Chattogram).
3. Select valid 'Date of Journey'.
4. Select valid 'Choose Class' (AC_CHAIR).
5. Click 'SEARCH TRAINS' button.</t>
  </si>
  <si>
    <t>From: Dhaka | To: Chattogram | Date: Valid Date | Class: AC_CHAIR</t>
  </si>
  <si>
    <t>Page redirects/loads train search results showing available trains.</t>
  </si>
  <si>
    <t>TC-013</t>
  </si>
  <si>
    <t>Verify Error Message when Submitting Search Form with Empty Fields</t>
  </si>
  <si>
    <t>1. Open homepage URL.
2. Leave 'From', 'To', 'Date', and 'Class' fields empty.
3. Click 'SEARCH TRAINS' button.
4. Observe validation response.
5. Inspect field highlighting or error alerts.</t>
  </si>
  <si>
    <t>All Fields: [Blank]</t>
  </si>
  <si>
    <t>Validation messages displayed prompting mandatory field selections.</t>
  </si>
  <si>
    <t>TC-014</t>
  </si>
  <si>
    <t>Verify Searching Trains for Route with No Direct Train Service</t>
  </si>
  <si>
    <t>1. Select 'From' station with no direct link to target 'To' station.
2. Select valid Date of Journey.
3. Select valid Class.
4. Click 'SEARCH TRAINS' button.
5. Observe result page message.</t>
  </si>
  <si>
    <t>Route: Non-connected stations</t>
  </si>
  <si>
    <t>Displays clear message: 'No trains found for selected route'.</t>
  </si>
  <si>
    <t>TC-015</t>
  </si>
  <si>
    <t>Navigation Links</t>
  </si>
  <si>
    <t>Navigation Testing</t>
  </si>
  <si>
    <t>Verify Redirection of Top Menu Links ('Login', 'Register', 'Train Information')</t>
  </si>
  <si>
    <t>1. Click 'Login' link in header and verify /login URL.
2. Return home and click 'Register' link, verify /register URL.
3. Click 'Train Information' link, verify destination page.
4. Click 'Contact Us' link, verify contact info section.</t>
  </si>
  <si>
    <t>Navbar Links: Login, Register, Train Information, Contact Us</t>
  </si>
  <si>
    <t>Each top navbar link navigates correctly to its destination page.</t>
  </si>
  <si>
    <t>Login Module</t>
  </si>
  <si>
    <t>TC-016</t>
  </si>
  <si>
    <t>Page Layout &amp;
Logo Display</t>
  </si>
  <si>
    <t>Verify Bangladesh
Railway logo,
title, and tagline
alignment.</t>
  </si>
  <si>
    <t>1. Launch browser on desktop.
2. Navigate to https://eticket.railway.gov.bd/login.
3. Observe top header and upper banner.
4. Verify logo and বাংলাদেশ রেলওয়ে&amp; title.
5. Check visibility
of tagline নিরাপদ • আরামদায়ক • সাশ্রয়ী</t>
  </si>
  <si>
    <t>URL: https://eticket.railway.gov.bd/login
Browser: Chrome/Firefox/Edge/Brave/Opera Mini</t>
  </si>
  <si>
    <t>Logo, title, and
tagline correctly
displayed and
centered.</t>
  </si>
  <si>
    <t>TC-017</t>
  </si>
  <si>
    <t>Verify
placeholder text
in mobile and
password fields.</t>
  </si>
  <si>
    <t>1. Open login page URL.
2. Inspect empty Mobile Number field.
3. Inspect empty Password field.
4. Verify placeholder text visibility.
5. Confirm font color legibility.</t>
  </si>
  <si>
    <t>Fields: Mobile Box, Password Box
Expected Text: 'Enter your mobile number', 'Enter your password'</t>
  </si>
  <si>
    <t>Placeholders 'Enter your mobile number' &amp; 'Enter your password' visible.</t>
  </si>
  <si>
    <t>TC-018</t>
  </si>
  <si>
    <t>Responsive Layout</t>
  </si>
  <si>
    <t>Verify page responsiveness across desktop and mobile screens.</t>
  </si>
  <si>
    <t>1. Open page on desktop resolution (1920x1080).
2. Resize viewport to tablet width (768px).
3. Resize viewport to mobile width (375px).
4. Inspect card layout and input boxes.
5. Check for horizontal overflow.</t>
  </si>
  <si>
    <t>Screen Sizes: 1920x1080 (Desktop), 768px (Tablet), 375px (Mobile)</t>
  </si>
  <si>
    <t>Layout adjusts smoothly without breaking UI.</t>
  </si>
  <si>
    <t>TC-019</t>
  </si>
  <si>
    <t>Mobile Input</t>
  </si>
  <si>
    <t>Verify input of valid 11-digit mobile number.</t>
  </si>
  <si>
    <t>1. Open login page.
2. Click on Mobile Number field.
3. Enter valid number '01712345678'.
4. Click outside field .
5. Observe field status.</t>
  </si>
  <si>
    <t>Mobile Number: 01712345678</t>
  </si>
  <si>
    <t>11-digit number accepted without errors.</t>
  </si>
  <si>
    <t>TC-020</t>
  </si>
  <si>
    <t>Verify error when entering less than 11 digits.</t>
  </si>
  <si>
    <t>1. Open login page.
2. Enter '017123' in Mobile field.
3. Enter password string.
4. Solve Cloudflare security check.
5. Click 'LOGIN' button.</t>
  </si>
  <si>
    <t>Mobile Number: 017123 (6 digits)
Password: TestPassword123</t>
  </si>
  <si>
    <t>Invalid Mobile Number' error displayed.</t>
  </si>
  <si>
    <t>TC-021</t>
  </si>
  <si>
    <t>Verify error when entering more than 11 digits</t>
  </si>
  <si>
    <t>1. Open login page.
2. Enter  '017123856723' in Mobile field.
3. Enter password string.
4. Solve Cloudflare security check.
5. Click 'LOGIN' button.</t>
  </si>
  <si>
    <t>Mobile Number: 017123856723[12 Digit]
Password: TestPassword123</t>
  </si>
  <si>
    <t>TC-022</t>
  </si>
  <si>
    <t>Verify restriction on typing alphabets or special characters.</t>
  </si>
  <si>
    <t>1. Click on Mobile field.
2. Attempt typing alphabets 'ABCDEF'.
3. Inspect field text value.
4. Verify validation trigger.</t>
  </si>
  <si>
    <t>Input data : ABCDEF</t>
  </si>
  <si>
    <t>Data is not working  and Login Button is blind</t>
  </si>
  <si>
    <t>TC-023</t>
  </si>
  <si>
    <t>Verify restriction on typing special characters.</t>
  </si>
  <si>
    <t>1. Click on Mobile field.
2. Attempt typing special symbols '@#$%'.
3. Inspect field text value.
4. Verify validation trigger.</t>
  </si>
  <si>
    <t>Input data : @#$%</t>
  </si>
  <si>
    <t>TC-024</t>
  </si>
  <si>
    <t>Verify error when submitting withblank mobile field.</t>
  </si>
  <si>
    <t>1. Open login page.
2. Leave Mobile field completely blank.
3. Enter valid password in Password field.
4. Solve Cloudflare check.
5. Click 'LOGIN' button.</t>
  </si>
  <si>
    <t>Mobile Number: [Blank]
Password: TestPassword123</t>
  </si>
  <si>
    <t>Enter your mobile number' warning shown.</t>
  </si>
  <si>
    <t>TC-025</t>
  </si>
  <si>
    <t>Password Field</t>
  </si>
  <si>
    <t>UI/Security Testing</t>
  </si>
  <si>
    <t>Verify password characters are hidden by default.</t>
  </si>
  <si>
    <t>1. Navigate to login page.
2. Click on Password field.
3. Type string 'MySecretPass123'.
4. Inspect character representation.
5. Verify shoulder-surfing protection.</t>
  </si>
  <si>
    <t>Password String: MySecretPass123</t>
  </si>
  <si>
    <t>Password masked as dots (••••••••).</t>
  </si>
  <si>
    <t>TC-026</t>
  </si>
  <si>
    <t>Security Testing</t>
  </si>
  <si>
    <t>Verify wrong password characters can login or not</t>
  </si>
  <si>
    <t>1. Navigate to login page.
2. Click on Password field.
3. Type string 'mysecretpass'.
4. Inspect character representation.
5. Verify shoulder-surfing protection.</t>
  </si>
  <si>
    <t>Password String: myscretpass</t>
  </si>
  <si>
    <t xml:space="preserve">Wrong password </t>
  </si>
  <si>
    <t>TC-027</t>
  </si>
  <si>
    <t>Verify Eye icon reveals plain text password.</t>
  </si>
  <si>
    <t>1. Navigate to login page.
2. Type 'MySecretPass123' in Password field.
3. Locate Eye icon inside field.
4. Click Eye icon button once.
5. Inspect displayed password text.</t>
  </si>
  <si>
    <t>Password toggles to plain visible text.</t>
  </si>
  <si>
    <t>TC-028</t>
  </si>
  <si>
    <t>Verify clicking Eye icon again re-masks the password.</t>
  </si>
  <si>
    <t>1. Ensure password is in plain text view mode.
2. Locate Eye icon button.
3. Click Eye icon button second time.
4. Inspect field contents.
5. Confirm character concealment.</t>
  </si>
  <si>
    <t>Password String: MySecretPass123
Toggle Action: Double Click Eye Icon</t>
  </si>
  <si>
    <t>Password re-masks into dots (••••••••).</t>
  </si>
  <si>
    <t>TC-029</t>
  </si>
  <si>
    <t>Verify error when submitting with blank password field.</t>
  </si>
  <si>
    <t>1. Enter 11-digit mobile number.
2. Leave Password field blank.
3. Solve Cloudflare captcha.
4. Click 'LOGIN' button.
5. Observe error alert.</t>
  </si>
  <si>
    <t>Mobile Number: 01712345678
Password: [Blank]</t>
  </si>
  <si>
    <t>'Enter your password' warning shown.</t>
  </si>
  <si>
    <t>TC-030</t>
  </si>
  <si>
    <t>Security Captcha</t>
  </si>
  <si>
    <t>Verify submission passed completing Cloudflare check.</t>
  </si>
  <si>
    <t>1. Enter valid 11-digit mobile number.
2. Enter correct password.
3. Leave Cloudflare box automatically checked.
4. Click 'LOGIN' button.
5. Inspect alert/prompt behavior.</t>
  </si>
  <si>
    <t>Mobile Number: 01712345678
Password: MySecretPass
Captcha: Checked</t>
  </si>
  <si>
    <t>Form submission automatically checked captcha verified.</t>
  </si>
  <si>
    <t>TC-031</t>
  </si>
  <si>
    <t>Verify successful Cloudflare verification process.</t>
  </si>
  <si>
    <t>1. Navigate to login page.
2. Locate Cloudflare widget.
3. Click checkbox inside widget.
4. Complete image challenge if prompted.
5. Check widget status change.</t>
  </si>
  <si>
    <t>Widget: Cloudflare Turnstile
Action: Interactive Click</t>
  </si>
  <si>
    <t>Green checkmark with 'Success!' displayed.</t>
  </si>
  <si>
    <t>TC-032</t>
  </si>
  <si>
    <t>Authentication</t>
  </si>
  <si>
    <t>Verify successful authentication with valid credentials.</t>
  </si>
  <si>
    <t>1. Enter valid registered mobile number.
2. Enter correct account password.
3. Solve Cloudflare security captcha.
4. Click 'LOGIN' button.
5. Wait for page redirection.</t>
  </si>
  <si>
    <t>Mobile Number: 01708597467 (Registered)
Password: MySecretPass123
Captcha: Verified</t>
  </si>
  <si>
    <t>User logged in and redirected to next page.</t>
  </si>
  <si>
    <t>TC-033</t>
  </si>
  <si>
    <t>Verify error message when entering wrong password.</t>
  </si>
  <si>
    <t>1. Enter valid registered mobile number.
2. Enter incorrect password 'mysecretPass123'.
3. Solve Cloudflare captcha.
4. Click 'LOGIN' button.
5. Observe error message box.</t>
  </si>
  <si>
    <t>Mobile Number: 01708597467
Password: MySecretPass123
Captcha: Verified</t>
  </si>
  <si>
    <t>Invalid Mobile Number or Password' displayed.</t>
  </si>
  <si>
    <t>TC-034</t>
  </si>
  <si>
    <t>Verify error message when using unregistered mobile number.</t>
  </si>
  <si>
    <t>1. Enter unregistered mobile number '01399999999'.
2. Enter standard password.
3. Solve Cloudflare captcha.
4. Click 'LOGIN' button.
5. Inspect response message.</t>
  </si>
  <si>
    <t>Mobile Number: 01399999999 (Unregistered)
Password: MySecretPass123
Captcha: Verified</t>
  </si>
  <si>
    <t>Error stating account does not exist displayed.</t>
  </si>
  <si>
    <t>TC-035</t>
  </si>
  <si>
    <t>Verify error message when using unregistered Operator .</t>
  </si>
  <si>
    <t>1. Enter unregistered mobile number '01299999999'.
2. Enter standard password.
3. Solve Cloudflare captcha.
4. Click 'LOGIN' button.
5. Inspect response message.</t>
  </si>
  <si>
    <t>Mobile Number: 01299999999 (Unregistered Oporator)
Password: MySecretPass123
Captcha: Verified</t>
  </si>
  <si>
    <t>TC-036</t>
  </si>
  <si>
    <t>Verify redirection of 'Forgot Password?' link.</t>
  </si>
  <si>
    <t>1. Navigate to login page.
2. Locate 'Forgot Password?' text link.
3. Hover over link to check pointer cursor.
4. Click 'Forgot Password?' link.
5. Verify destination page URL.</t>
  </si>
  <si>
    <t>Target Link: 'Forgot Password?'</t>
  </si>
  <si>
    <t xml:space="preserve">Redirects to password reset page </t>
  </si>
  <si>
    <t>Redirects to password reset page</t>
  </si>
  <si>
    <t>TC-037</t>
  </si>
  <si>
    <t>Verify opening of support interface via 'Need Help?' link.</t>
  </si>
  <si>
    <t>1. Navigate to login page.
2. Locate 'Need Help?' link at top-right.
3. Hover mouse over link.
4. Click 'Need Help?' link.
5. Verify modal popup or support page.</t>
  </si>
  <si>
    <t>Target Link: 'Need Help?'</t>
  </si>
  <si>
    <t>Tech Support Team
support@eticket.railway.gov.bd</t>
  </si>
  <si>
    <t>TC-038</t>
  </si>
  <si>
    <t>Verify redirection of 'REGISTER' link.</t>
  </si>
  <si>
    <t>1. Scroll to bottom of login card.
2. Locate green 'REGISTER' button link.
3. Hover over 'REGISTER' link.
4. Click 'REGISTER' link.
5. Check target URL loading.</t>
  </si>
  <si>
    <t>Target Button: 'REGISTER'</t>
  </si>
  <si>
    <t>Redirects to registration portal (/register).</t>
  </si>
  <si>
    <t>Registration Module</t>
  </si>
  <si>
    <t>TC-039</t>
  </si>
  <si>
    <t>Verify Page Header, Logo, and Navigation Bar Alignment</t>
  </si>
  <si>
    <t>1. Launch desktop browser.
2. Navigate to https://eticket.railway.gov.bd/register.
3. Observe top navigation bar.
4. Verify presence of Bangladesh Railway logo and title.
5. Confirm visibility of menu links ('Home', 'Login', 'Register', 'Train Information', 'Contact Us').</t>
  </si>
  <si>
    <t xml:space="preserve">URL: https://eticket.railway.gov.bd/register
Browser: Chrome/Firefox/Edge/Brave/Opera Mini </t>
  </si>
  <si>
    <t>Header logo, title, and top menu links display correctly and aligned.</t>
  </si>
  <si>
    <t>TC-040</t>
  </si>
  <si>
    <t>Verify Banner Illustration, Title, and Instruction Text</t>
  </si>
  <si>
    <t>1. Open registration page URL.
2. Inspect top illustration graphic.
3. Check heading 'Please Verify Your NID'.
4. Read instructional subtext regarding NID verification.
5. Verify blue alert box instruction above full name field.</t>
  </si>
  <si>
    <t>Heading: 'Please Verify Your NID'
Alert Text: 'Please enter your full name exactly as it appears on your NID card.'</t>
  </si>
  <si>
    <t>Illustration, title, instruction text, and blue notice box rendered legibly.</t>
  </si>
  <si>
    <t>TC-041</t>
  </si>
  <si>
    <t>Verify Field Placeholders and Date Picker Icon</t>
  </si>
  <si>
    <t>1. Open registration page URL.
2. Inspect Full Name, Mobile Number, and NID Number input boxes.
3. Inspect Date of Birth selector.
4. Verify calendar icon inside Date of Birth field.
5. Check text readability across all placeholders.</t>
  </si>
  <si>
    <t>Placeholders: 'Enter Full Name', 'Enter Mobile Number', 'Enter NID Number', 'Select Date of Birth'</t>
  </si>
  <si>
    <t>All placeholder texts and calendar icon visible clearly.</t>
  </si>
  <si>
    <t>TC-042</t>
  </si>
  <si>
    <t>Responsiveness</t>
  </si>
  <si>
    <t>Verify Layout Responsiveness on Mobile Viewport (430px)</t>
  </si>
  <si>
    <t>1. Open page in Chrome Developer Tools.
2. Switch device toolbar to mobile viewport (430x932).
3. Scroll through registration form elements.
4. Check input field scaling and padding.
5. Confirm no horizontal scrolling or UI overlaps.</t>
  </si>
  <si>
    <t>Viewport Width: 430px (iPhone 5 Series)</t>
  </si>
  <si>
    <t>Form elements adapt cleanly without horizontal overflow.</t>
  </si>
  <si>
    <t>TC-043</t>
  </si>
  <si>
    <t>Full Name Input</t>
  </si>
  <si>
    <t>Verify Input of Valid Full Name Matching NID</t>
  </si>
  <si>
    <t>1. Open registration page.
2. Click 'Enter Full Name' field.
3. Type valid full name 'Tanzim Rahman'.
4. Click outside field to trigger validation check.
5. Verify field accepts character sequence.</t>
  </si>
  <si>
    <t>Full Name: Tanzim Rahman</t>
  </si>
  <si>
    <t>Full name accepted without inline validation error.</t>
  </si>
  <si>
    <t>TC-044</t>
  </si>
  <si>
    <t>Verify Special Character  Restriction in Full Name</t>
  </si>
  <si>
    <t>1. Click 'Enter Full Name' field.
2. Type string containing numbers and symbols 'Tanzim@#'.
3. Click outside field.
4. Inspect field response.
5. Confirm system flags numeric/special characters.</t>
  </si>
  <si>
    <t>Full Name: Tanzim@#</t>
  </si>
  <si>
    <t xml:space="preserve"> Special characters flagged or prohibited.</t>
  </si>
  <si>
    <t>Special characters flagged or prohibited.</t>
  </si>
  <si>
    <t>TC-045</t>
  </si>
  <si>
    <t>Verify blank Full Name Field</t>
  </si>
  <si>
    <t>1. Blank full name field 
2.Fill all the fields  
3. Check Capcha 
4. Try to Click verify button , but the verify button is blind</t>
  </si>
  <si>
    <t>Input Data [ Blank full name ]</t>
  </si>
  <si>
    <t>It is not verifying , because of  verify button is blind  due to Blank Full name  field  .Full name is required.</t>
  </si>
  <si>
    <t>TC-046</t>
  </si>
  <si>
    <t>Verify Numeric Restriction in Full Name</t>
  </si>
  <si>
    <t>1. Click 'Enter Full Name' field.
2. Type string containing numbers and symbols 'Tanzim123'.
3. Click outside field.
4. Inspect field response.
5. Confirm system flags numeric/special characters.</t>
  </si>
  <si>
    <t>Full Name: Tanzim123</t>
  </si>
  <si>
    <t>Numeric  characters flagged or prohibited.</t>
  </si>
  <si>
    <t>TC-047</t>
  </si>
  <si>
    <t>Verify Minimum and Maximum Length Limits on Full Name Field</t>
  </si>
  <si>
    <t>1. Test single character input 'A' in Name field.
2. Observe validation trigger.
3. Clear field and paste 150-character string.
4. Verify character limit truncation or error state.
5. Check input response.</t>
  </si>
  <si>
    <t>Min: 'A' (1 char) / Max: 150 repeating character</t>
  </si>
  <si>
    <t>Name field enforces reasonable length boundaries (min 2, max 100)</t>
  </si>
  <si>
    <t>TC-048</t>
  </si>
  <si>
    <t>Edge Case</t>
  </si>
  <si>
    <t>Verify Trimming of Leading and Trailing Spaces in Full Name Field</t>
  </si>
  <si>
    <t>1. Click 'Enter Full Name' field.
2. Type name with leading and trailing spaces '   Tanzim Rahman   '.
3. Fill other valid fields and submit.
4. Verify backend receives trimmed name string.
5. Inspect request body in browser DevTools.</t>
  </si>
  <si>
    <t>Full Name: '   Tanzim Rahman   '</t>
  </si>
  <si>
    <t>Leading and trailing spaces automatically trimmed on submit.</t>
  </si>
  <si>
    <t>TC-049</t>
  </si>
  <si>
    <t>Verify Input of Valid 11-digit Bangladeshi Mobile Number</t>
  </si>
  <si>
    <t>1. Click 'Enter Mobile Number' field.
2. Type 11-digit number '01712345678'.
3. Trigger blur event.
4. Observe field styling.
5. Confirm digits accepted.</t>
  </si>
  <si>
    <t>11-digit mobile number accepted without error.</t>
  </si>
  <si>
    <t>TC-050</t>
  </si>
  <si>
    <t>Verify Validation for Invalid Mobile Prefix (Non-Bangladeshi Operator)</t>
  </si>
  <si>
    <t>1. Click 'Enter Mobile Number' field.
2. Type 11 digits starting with invalid operator prefix '01112345678'.
3. Move focus away from field.
4. Check error prompt.
5. Verify validation catch.</t>
  </si>
  <si>
    <t>Mobile Number: 01112345678 (Invalid prefix 011)</t>
  </si>
  <si>
    <t>Validation error stating invalid Bangladeshi mobile prefix.</t>
  </si>
  <si>
    <t>TC-051</t>
  </si>
  <si>
    <t>Verify Validation for Short Mobile Number Length</t>
  </si>
  <si>
    <t>1. Click 'Enter Mobile Number' field.
2. Type 8-digit short number '01712345'.
3. Fill other mandatory fields.
4. Check reCAPTCHA box.
5. Click 'Verify' button.</t>
  </si>
  <si>
    <t>Mobile Number: 01712345 (8 digits)</t>
  </si>
  <si>
    <t>Validation message 'Invalid Mobile Number' displayed.</t>
  </si>
  <si>
    <t>TC-052</t>
  </si>
  <si>
    <t>Verify Restriction on Typing Alphabets in Mobile Field</t>
  </si>
  <si>
    <t>1. Focus on Mobile field.
2. Attempt typing alphabetic letters 'ABCDEF'.
3. Attempt pasting alphabetic string.
4. Inspect input field value.
5. Verify non-numeric input is ignored.</t>
  </si>
  <si>
    <t>Input String: ABCDEF</t>
  </si>
  <si>
    <t>Alphabetic characters blocked from input box.</t>
  </si>
  <si>
    <t>TC-053</t>
  </si>
  <si>
    <t xml:space="preserve">Mobile Input </t>
  </si>
  <si>
    <t>Verify the blank phone field test</t>
  </si>
  <si>
    <t>1. Blank phone number field 
2.Fill all the fields  
3. Check Capcha 
4. Try to Click verify button , but the verify button is blind</t>
  </si>
  <si>
    <t>Input [ Blank Phone Number ]</t>
  </si>
  <si>
    <t>It is not verifying , because of  verify button is blind  due to Blank Phone field  .Mobile Number is required.</t>
  </si>
  <si>
    <t>TC-054</t>
  </si>
  <si>
    <t>NID Input</t>
  </si>
  <si>
    <t>Verify Input of Valid 10-Digit Smart NID Number</t>
  </si>
  <si>
    <t>1. Click 'Enter NID Number' field.
2. Type valid 10-digit Smart NID '6903558466'.
3. Trigger field validation.
4. Observe field styling.
5. Confirm acceptance.</t>
  </si>
  <si>
    <t>Smart NID: 6903558466 (10 digits)</t>
  </si>
  <si>
    <t>10-digit Smart NID accepted successfully.</t>
  </si>
  <si>
    <t>TC-055</t>
  </si>
  <si>
    <t>Verify Input of Valid 13 or 17 Digit Legacy NID Number</t>
  </si>
  <si>
    <t>1. Click 'Enter NID Number' field.
2. Type 17-digit legacy NID '19994129005000006'.
3. Trigger validation.
4. Inspect field state.
5. Confirm system compatibility.</t>
  </si>
  <si>
    <t>Legacy NID: 19994129005000006 (17 digits)</t>
  </si>
  <si>
    <t>17-digit legacy NID accepted successfully.</t>
  </si>
  <si>
    <t>TC-056</t>
  </si>
  <si>
    <t>Verify Validation Error for Invalid NID Length
 (12 or 15 Digits)</t>
  </si>
  <si>
    <t>1. Click 'Enter NID Number' field.
2. Type invalid 12-digit number '690355846'.
3. Click outside field.
4. Check error message.
5. Confirm submission block.</t>
  </si>
  <si>
    <t>NID : '  690355846 ' ( 12 digit )</t>
  </si>
  <si>
    <t>Invalid NID Number' error message displayed.</t>
  </si>
  <si>
    <t>+</t>
  </si>
  <si>
    <t>TC-057</t>
  </si>
  <si>
    <t>Verify Error when Submitting Previously Registered NID</t>
  </si>
  <si>
    <t>1. Enter valid Full Name.
2. Enter active Mobile Number.
3. Enter NID number already registered to another account.
4. Select corresponding DOB.
5. Solve reCAPTCHA and click 'Verify'.</t>
  </si>
  <si>
    <t>NID: 6903558466 (Already Registered)</t>
  </si>
  <si>
    <t>Error message 'This NID is already registered' displayed.</t>
  </si>
  <si>
    <t>TC-058</t>
  </si>
  <si>
    <t>Date of Birth</t>
  </si>
  <si>
    <t>Verify Date Selection via Date Picker Calendar Tool</t>
  </si>
  <si>
    <t>1. Click on 'Select Date of Birth' field or calendar icon.
2. Select Year '1995' from dropdown/view.
3. Select Month 'August'.
4. Select Day '15'.
5. Verify field value updates to selected date.</t>
  </si>
  <si>
    <t>Date of Birth: 15-08-1995</t>
  </si>
  <si>
    <t>Date correctly formatted and updated in field.</t>
  </si>
  <si>
    <t>TC-059</t>
  </si>
  <si>
    <t>Verify Age Restriction for NID Verification (Under 18 Years)</t>
  </si>
  <si>
    <t>1. Click 'Select Date of Birth' field.
2. Select date representing age under 18 ( year 2012).
3. Enter valid Name, Mobile, and NID.
4. Complete reCAPTCHA.
5. Click 'Verify' button.</t>
  </si>
  <si>
    <t>DOB: 01-01-2012 (Under 18)</t>
  </si>
  <si>
    <t>It's automatically changed to 2010</t>
  </si>
  <si>
    <t>TC-060</t>
  </si>
  <si>
    <t>Verify blank DOB field</t>
  </si>
  <si>
    <t>1. Blank DOB field 
2.Fill all the fields  
3. Check Capcha 
4. Try to Click verify button , but the verify button is blind</t>
  </si>
  <si>
    <t>Input data [ Blank DOB ]</t>
  </si>
  <si>
    <t>It is not verifying , because of  verify button is blind  due to Blank DOB  field  .Date of Birth is required.</t>
  </si>
  <si>
    <t>TC-061</t>
  </si>
  <si>
    <t>Verify Prevention of Selecting Future Dates in Date Picker</t>
  </si>
  <si>
    <t>1. Open Date of Birth calendar widget.
2. Attempt navigating to future months/years.
3. Check if future dates are disabled/greyed out.
4. Attempt typing future date '01-01-2030'.
5. Verify validation response.</t>
  </si>
  <si>
    <t>Future Date: 01-01-2030</t>
  </si>
  <si>
    <t>TC-062</t>
  </si>
  <si>
    <t>Verify Google reCAPTCHA Enterprise Integration and Checkbox</t>
  </si>
  <si>
    <t>1. Locate 'I'm not a robot' reCAPTCHA widget.
2. Click checkbox inside widget.
3. Complete visual challenge if triggered.
4. Confirm green checkmark appearance.
5. Observe 'Verify' button state change.</t>
  </si>
  <si>
    <t>Widget: Google reCAPTCHA Enterprise</t>
  </si>
  <si>
    <t>reCAPTCHA verifies successfully with green checkmark.</t>
  </si>
  <si>
    <t>TC-063</t>
  </si>
  <si>
    <t>Verify reCAPTCHA Expiration Handling on Inactive Form</t>
  </si>
  <si>
    <t>1. Open registration page.
2. Complete reCAPTCHA checkbox.
3. Leave page idle for 2+ minutes.
4. Observe reCAPTCHA widget state.
5. Attempt submission after expiration.</t>
  </si>
  <si>
    <t>Idle Duration: 2 Minutes</t>
  </si>
  <si>
    <t>Verification expired . Check the checkbox again</t>
  </si>
  <si>
    <t>TC-064</t>
  </si>
  <si>
    <t>Form Validation</t>
  </si>
  <si>
    <t>Verify Submission Block on Blank/Empty Form Fields</t>
  </si>
  <si>
    <t>1. Open registration page.
2. Leave all input fields blank.
3. Do not complete reCAPTCHA.
4. Inspect 'Verify' button availability/clickability.
5. Attempt submission and observe field alerts.</t>
  </si>
  <si>
    <t>'Verify' button disabled or explicit inline validation messages shown.</t>
  </si>
  <si>
    <t>TC-065</t>
  </si>
  <si>
    <t>NID Verification</t>
  </si>
  <si>
    <t>Verify Successful NID Verification with Valid Matching Details</t>
  </si>
  <si>
    <t>1. Enter valid Full Name matching NID record.
2. Enter active 11-digit Mobile Number.
3. Enter valid NID Number.
4. Select Date of Birth corresponding to NID.
5. Solve reCAPTCHA and click 'Verify' button.</t>
  </si>
  <si>
    <t>Name: Tanzim Rahman
Mobile: 01992321575
NID: 6903995766
DOB: 26-11-1999</t>
  </si>
  <si>
    <t>NID verified via Election Commission server and redirected to OTP step.</t>
  </si>
  <si>
    <t>TC-066</t>
  </si>
  <si>
    <t>Verifying Blank NID Field</t>
  </si>
  <si>
    <t>1. Blank NID number field 
2.Fill all the fields  
3. Check Capcha 
4. Try to Click verify button , but the verify button is blind</t>
  </si>
  <si>
    <t>Input Data [ NID Number ]</t>
  </si>
  <si>
    <t>It is not verifying , because of  verify button is blind  due to Blank NID  field  .NID Number is required.</t>
  </si>
  <si>
    <t>TC-067</t>
  </si>
  <si>
    <t>Verify Failure when NID Number and Date of Birth Do Not Match</t>
  </si>
  <si>
    <t>1. Enter valid Full Name.
2. Enter valid Mobile Number.
3. Enter valid NID Number '6903995766'.
4. Select incorrect Date of Birth '01-01-1980'.
5. Solve reCAPTCHA and click 'Verify'.</t>
  </si>
  <si>
    <t>NID: 6903995766
DOB: 01-01-1980 (Mismatched)</t>
  </si>
  <si>
    <t>Error message 'NID Verification Failed' or info mismatch shown.</t>
  </si>
  <si>
    <t>TC-068</t>
  </si>
  <si>
    <t>Verify Redirection of 'Already Registered?' Button Link</t>
  </si>
  <si>
    <t>1. Scroll to bottom of registration container.
2. Locate 'Already Registered?' link/button.
3. Hover cursor over link.
4. Click 'Already Registered?' link.
5. Check target page URL loading.</t>
  </si>
  <si>
    <t>Target Link: 'Already Registered?'
Expected URL: /login</t>
  </si>
  <si>
    <t>Redirects user directly to login portal (/login).</t>
  </si>
  <si>
    <t>TC-069</t>
  </si>
  <si>
    <t>Verify Navigation Bar Links Functionality ('Login', 'Train Information')</t>
  </si>
  <si>
    <t>1. Locate top navbar.
2. Click 'Login' link and check redirection.
3. Return to register page.
4. Click 'Train Information' link.
5. Verify destination page content.</t>
  </si>
  <si>
    <t>Navbar Links: Login, Train Information, Contact Us</t>
  </si>
  <si>
    <t>All navbar links navigate smoothly to respective pages.</t>
  </si>
  <si>
    <t>TC-070</t>
  </si>
  <si>
    <t xml:space="preserve">Submit Button </t>
  </si>
  <si>
    <t xml:space="preserve">Functional Testing </t>
  </si>
  <si>
    <t>Verify the Submit Button without fill the data</t>
  </si>
  <si>
    <t>1. 1stly go to reg. page 
2. Blank Full Name 
3. Blank Mobile Number 
4.Blank Nid &amp; Unchecked Capcha
5. Click verify button</t>
  </si>
  <si>
    <t>Blank All the Input Field &amp;  Submit</t>
  </si>
  <si>
    <t>Data will not submit &amp; require the full fields</t>
  </si>
  <si>
    <t xml:space="preserve">Blank Data is submitted &amp; redirect to next page </t>
  </si>
  <si>
    <t xml:space="preserve">Link </t>
  </si>
  <si>
    <t>Train: RANGPUR EXPRESS (771)</t>
  </si>
  <si>
    <t>TC-071</t>
  </si>
  <si>
    <t>Train Information</t>
  </si>
  <si>
    <t>Functional / Search</t>
  </si>
  <si>
    <t>Train Schedule &amp; Route Lookup for RANGPUR EXPRESS (771)</t>
  </si>
  <si>
    <t>1. Navigate to /train-information page.
2. Click 'SELECT TRAIN' input field.
3. Type or select train 'RANGPUR EXPRESS (771)'.
4. Click train item from dropdown list.
5. Confirm schedule, stoppage, and fare table renders accurately.</t>
  </si>
  <si>
    <t>Train: RANGPUR EXPRESS (772)</t>
  </si>
  <si>
    <t>System fetches and displays complete schedule and route information for RANGPUR EXPRESS (771).</t>
  </si>
  <si>
    <t>TC-072</t>
  </si>
  <si>
    <t>Train Schedule &amp; Route Lookup for RANGPUR EXPRESS (772)</t>
  </si>
  <si>
    <t>1. Navigate to /train-information page.
2. Click 'SELECT TRAIN' input field.
3. Type or select train 'RANGPUR EXPRESS (772)'.
4. Click train item from dropdown list.
5. Confirm schedule, stoppage, and fare table renders accurately.</t>
  </si>
  <si>
    <t>Train: PANCHAGARH EXPRESS (793)</t>
  </si>
  <si>
    <t>System fetches and displays complete schedule and route information for RANGPUR EXPRESS (772).</t>
  </si>
  <si>
    <t>TC-073</t>
  </si>
  <si>
    <t>Train Schedule &amp; Route Lookup for PANCHAGARH EXPRESS (793)</t>
  </si>
  <si>
    <t>1. Navigate to /train-information page.
2. Click 'SELECT TRAIN' input field.
3. Type or select train 'PANCHAGARH EXPRESS (793)'.
4. Click train item from dropdown list.
5. Confirm schedule, stoppage, and fare table renders accurately.</t>
  </si>
  <si>
    <t>Train: PANCHAGARH EXPRESS (794)</t>
  </si>
  <si>
    <t>System fetches and displays complete schedule and route information for PANCHAGARH EXPRESS (793).</t>
  </si>
  <si>
    <t>TC-074</t>
  </si>
  <si>
    <t>Train Schedule &amp; Route Lookup for PANCHAGARH EXPRESS (794)</t>
  </si>
  <si>
    <t>1. Navigate to /train-information page.
2. Click 'SELECT TRAIN' input field.
3. Type or select train 'PANCHAGARH EXPRESS (794)'.
4. Click train item from dropdown list.
5. Confirm schedule, stoppage, and fare table renders accurately.</t>
  </si>
  <si>
    <t>Train: EKOTA EXPRESS (705)</t>
  </si>
  <si>
    <t>System fetches and displays complete schedule and route information for PANCHAGARH EXPRESS (794).</t>
  </si>
  <si>
    <t>TC-075</t>
  </si>
  <si>
    <t>Train Schedule &amp; Route Lookup for EKOTA EXPRESS (705)</t>
  </si>
  <si>
    <t>1. Navigate to /train-information page.
2. Click 'SELECT TRAIN' input field.
3. Type or select train 'EKOTA EXPRESS (705)'.
4. Click train item from dropdown list.
5. Confirm schedule, stoppage, and fare table renders accurately.</t>
  </si>
  <si>
    <t>Train: EKOTA EXPRESS (706)</t>
  </si>
  <si>
    <t>System fetches and displays complete schedule and route information for EKOTA EXPRESS (705).</t>
  </si>
  <si>
    <t>TC-076</t>
  </si>
  <si>
    <t>Train Schedule &amp; Route Lookup for EKOTA EXPRESS (706)</t>
  </si>
  <si>
    <t>1. Navigate to /train-information page.
2. Click 'SELECT TRAIN' input field.
3. Type or select train 'EKOTA EXPRESS (706)'.
4. Click train item from dropdown list.
5. Confirm schedule, stoppage, and fare table renders accurately.</t>
  </si>
  <si>
    <t>Train: RUPSHA EXPRESS (727)</t>
  </si>
  <si>
    <t>System fetches and displays complete schedule and route information for EKOTA EXPRESS (706).</t>
  </si>
  <si>
    <t>TC-077</t>
  </si>
  <si>
    <t>Train Schedule &amp; Route Lookup for RUPSHA EXPRESS (727)</t>
  </si>
  <si>
    <t>1. Navigate to /train-information page.
2. Click 'SELECT TRAIN' input field.
3. Type or select train 'RUPSHA EXPRESS (727)'.
4. Click train item from dropdown list.
5. Confirm schedule, stoppage, and fare table renders accurately.</t>
  </si>
  <si>
    <t>Train: RUPSHA EXPRESS (728)</t>
  </si>
  <si>
    <t>System fetches and displays complete schedule and route information for RUPSHA EXPRESS (727).</t>
  </si>
  <si>
    <t>TC-078</t>
  </si>
  <si>
    <t>Train Schedule &amp; Route Lookup for RUPSHA EXPRESS (728)</t>
  </si>
  <si>
    <t>1. Navigate to /train-information page.
2. Click 'SELECT TRAIN' input field.
3. Type or select train 'RUPSHA EXPRESS (728)'.
4. Click train item from dropdown list.
5. Confirm schedule, stoppage, and fare table renders accurately.</t>
  </si>
  <si>
    <t>Train: DHUMKETU EXPRESS (769)</t>
  </si>
  <si>
    <t>System fetches and displays complete schedule and route information for RUPSHA EXPRESS (728).</t>
  </si>
  <si>
    <t>TC-079</t>
  </si>
  <si>
    <t>Train Schedule &amp; Route Lookup for DHUMKETU EXPRESS (769)</t>
  </si>
  <si>
    <t>1. Navigate to /train-information page.
2. Click 'SELECT TRAIN' input field.
3. Type or select train 'DHUMKETU EXPRESS (769)'.
4. Click train item from dropdown list.
5. Confirm schedule, stoppage, and fare table renders accurately.</t>
  </si>
  <si>
    <t>System fetches and displays complete schedule and route information for DHUMKETU EXPRESS (769).</t>
  </si>
  <si>
    <t>TC-080</t>
  </si>
  <si>
    <t>Train Schedule &amp; Route Lookup for DHUMKETU EXPRESS (770)</t>
  </si>
  <si>
    <t>1. Navigate to /train-information page.
2. Click 'SELECT TRAIN' input field.
3. Type or select train 'DHUMKETU EXPRESS (770)'.
4. Click train item from dropdown list.
5. Confirm schedule, stoppage, and fare table renders accurately.</t>
  </si>
  <si>
    <t>Train: SIMANTA EXPRESS (747)</t>
  </si>
  <si>
    <t>System fetches and displays complete schedule and route information for DHUMKETU EXPRESS (770).</t>
  </si>
  <si>
    <t>TC-081</t>
  </si>
  <si>
    <t>Train Schedule &amp; Route Lookup for SIMANTA EXPRESS (747)</t>
  </si>
  <si>
    <t>1. Navigate to /train-information page.
2. Click 'SELECT TRAIN' input field.
3. Type or select train 'SIMANTA EXPRESS (747)'.
4. Click train item from dropdown list.
5. Confirm schedule, stoppage, and fare table renders accurately.</t>
  </si>
  <si>
    <t>Train: SIMANTA EXPRESS (748)</t>
  </si>
  <si>
    <t>System fetches and displays complete schedule and route information for SIMANTA EXPRESS (747).</t>
  </si>
  <si>
    <t>TC-082</t>
  </si>
  <si>
    <t>Train Schedule &amp; Route Lookup for SIMANTA EXPRESS (748)</t>
  </si>
  <si>
    <t>1. Navigate to /train-information page.
2. Click 'SELECT TRAIN' input field.
3. Type or select train 'SIMANTA EXPRESS (748)'.
4. Click train item from dropdown list.
5. Confirm schedule, stoppage, and fare table renders accurately.</t>
  </si>
  <si>
    <t>Train: TUNGIPARA EXPRESS (783)</t>
  </si>
  <si>
    <t>System fetches and displays complete schedule and route information for SIMANTA EXPRESS (748).</t>
  </si>
  <si>
    <t>TC-083</t>
  </si>
  <si>
    <t>Train Schedule &amp; Route Lookup for TUNGIPARA EXPRESS (783)</t>
  </si>
  <si>
    <t>1. Navigate to /train-information page.
2. Click 'SELECT TRAIN' input field.
3. Type or select train 'TUNGIPARA EXPRESS (783)'.
4. Click train item from dropdown list.
5. Confirm schedule, stoppage, and fare table renders accurately.</t>
  </si>
  <si>
    <t>Train: TUNGIPARA EXPRESS (784)</t>
  </si>
  <si>
    <t>System fetches and displays complete schedule and route information for TUNGIPARA EXPRESS (783).</t>
  </si>
  <si>
    <t>TC-084</t>
  </si>
  <si>
    <t>Train Schedule &amp; Route Lookup for TUNGIPARA EXPRESS (784)</t>
  </si>
  <si>
    <t>1. Navigate to /train-information page.
2. Click 'SELECT TRAIN' input field.
3. Type or select train 'TUNGIPARA EXPRESS (784)'.
4. Click train item from dropdown list.
5. Confirm schedule, stoppage, and fare table renders accurately.</t>
  </si>
  <si>
    <t>Train: PADMA EXPRESS (759)</t>
  </si>
  <si>
    <t>System fetches and displays complete schedule and route information for TUNGIPARA EXPRESS (784).</t>
  </si>
  <si>
    <t>TC-085</t>
  </si>
  <si>
    <t>Train Schedule &amp; Route Lookup for PADMA EXPRESS (759)</t>
  </si>
  <si>
    <t>1. Navigate to /train-information page.
2. Click 'SELECT TRAIN' input field.
3. Type or select train 'PADMA EXPRESS (759)'.
4. Click train item from dropdown list.
5. Confirm schedule, stoppage, and fare table renders accurately.</t>
  </si>
  <si>
    <t>Train: PADMA EXPRESS (760)</t>
  </si>
  <si>
    <t>System fetches and displays complete schedule and route information for PADMA EXPRESS (759).</t>
  </si>
  <si>
    <t>TC-086</t>
  </si>
  <si>
    <t>Train Schedule &amp; Route Lookup for PADMA EXPRESS (760)</t>
  </si>
  <si>
    <t>1. Navigate to /train-information page.
2. Click 'SELECT TRAIN' input field.
3. Type or select train 'PADMA EXPRESS (760)'.
4. Click train item from dropdown list.
5. Confirm schedule, stoppage, and fare table renders accurately.</t>
  </si>
  <si>
    <t>Train: SILKCITY EXPRESS (753)</t>
  </si>
  <si>
    <t>System fetches and displays complete schedule and route information for PADMA EXPRESS (760).</t>
  </si>
  <si>
    <t>TC-087</t>
  </si>
  <si>
    <t>Train Schedule &amp; Route Lookup for SILKCITY EXPRESS (753)</t>
  </si>
  <si>
    <t>1. Navigate to /train-information page.
2. Click 'SELECT TRAIN' input field.
3. Type or select train 'SILKCITY EXPRESS (753)'.
4. Click train item from dropdown list.
5. Confirm schedule, stoppage, and fare table renders accurately.</t>
  </si>
  <si>
    <t>Train: SILKCITY EXPRESS (754)</t>
  </si>
  <si>
    <t>System fetches and displays complete schedule and route information for SILKCITY EXPRESS (753).</t>
  </si>
  <si>
    <t>TC-088</t>
  </si>
  <si>
    <t>Train Schedule &amp; Route Lookup for SILKCITY EXPRESS (754)</t>
  </si>
  <si>
    <t>1. Navigate to /train-information page.
2. Click 'SELECT TRAIN' input field.
3. Type or select train 'SILKCITY EXPRESS (754)'.
4. Click train item from dropdown list.
5. Confirm schedule, stoppage, and fare table renders accurately.</t>
  </si>
  <si>
    <t>Train: SIRAJGANJ EXPRESS (775)</t>
  </si>
  <si>
    <t>System fetches and displays complete schedule and route information for SILKCITY EXPRESS (754).</t>
  </si>
  <si>
    <t>TC-089</t>
  </si>
  <si>
    <t>Train Schedule &amp; Route Lookup for SIRAJGANJ EXPRESS (775)</t>
  </si>
  <si>
    <t>1. Navigate to /train-information page.
2. Click 'SELECT TRAIN' input field.
3. Type or select train 'SIRAJGANJ EXPRESS (775)'.
4. Click train item from dropdown list.
5. Confirm schedule, stoppage, and fare table renders accurately.</t>
  </si>
  <si>
    <t>Train: SIRAJGANJ EXPRESS (776)</t>
  </si>
  <si>
    <t>System fetches and displays complete schedule and route information for SIRAJGANJ EXPRESS (775).</t>
  </si>
  <si>
    <t>TC-090</t>
  </si>
  <si>
    <t>Train Schedule &amp; Route Lookup for SIRAJGANJ EXPRESS (776)</t>
  </si>
  <si>
    <t>1. Navigate to /train-information page.
2. Click 'SELECT TRAIN' input field.
3. Type or select train 'SIRAJGANJ EXPRESS (776)'.
4. Click train item from dropdown list.
5. Confirm schedule, stoppage, and fare table renders accurately.</t>
  </si>
  <si>
    <t>Train: LALMONI EXPRESS (751)</t>
  </si>
  <si>
    <t>System fetches and displays complete schedule and route information for SIRAJGANJ EXPRESS (776).</t>
  </si>
  <si>
    <t>TC-091</t>
  </si>
  <si>
    <t>Train Schedule &amp; Route Lookup for LALMONI EXPRESS (751)</t>
  </si>
  <si>
    <t>1. Navigate to /train-information page.
2. Click 'SELECT TRAIN' input field.
3. Type or select train 'LALMONI EXPRESS (751)'.
4. Click train item from dropdown list.
5. Confirm schedule, stoppage, and fare table renders accurately.</t>
  </si>
  <si>
    <t>Train: LALMONI EXPRESS (752)</t>
  </si>
  <si>
    <t>System fetches and displays complete schedule and route information for LALMONI EXPRESS (751).</t>
  </si>
  <si>
    <t>TC-092</t>
  </si>
  <si>
    <t>Train Schedule &amp; Route Lookup for LALMONI EXPRESS (752)</t>
  </si>
  <si>
    <t>1. Navigate to /train-information page.
2. Click 'SELECT TRAIN' input field.
3. Type or select train 'LALMONI EXPRESS (752)'.
4. Click train item from dropdown list.
5. Confirm schedule, stoppage, and fare table renders accurately.</t>
  </si>
  <si>
    <t>Train: KURIGRAM EXPRESS (797)</t>
  </si>
  <si>
    <t>System fetches and displays complete schedule and route information for LALMONI EXPRESS (752).</t>
  </si>
  <si>
    <t>TC-093</t>
  </si>
  <si>
    <t>Train Schedule &amp; Route Lookup for KURIGRAM EXPRESS (797)</t>
  </si>
  <si>
    <t>1. Navigate to /train-information page.
2. Click 'SELECT TRAIN' input field.
3. Type or select train 'KURIGRAM EXPRESS (797)'.
4. Click train item from dropdown list.
5. Confirm schedule, stoppage, and fare table renders accurately.</t>
  </si>
  <si>
    <t>Train: MADHUMATI EXPRESS (755)</t>
  </si>
  <si>
    <t>System fetches and displays complete schedule and route information for KURIGRAM EXPRESS (797).</t>
  </si>
  <si>
    <t>TC-094</t>
  </si>
  <si>
    <t>Train Schedule &amp; Route Lookup for MADHUMATI EXPRESS (755)</t>
  </si>
  <si>
    <t>1. Navigate to /train-information page.
2. Click 'SELECT TRAIN' input field.
3. Type or select train 'MADHUMATI EXPRESS (755)'.
4. Click train item from dropdown list.
5. Confirm schedule, stoppage, and fare table renders accurately.</t>
  </si>
  <si>
    <t>Train: KURIGRAM EXPRESS (798)</t>
  </si>
  <si>
    <t>System fetches and displays complete schedule and route information for MADHUMATI EXPRESS (755).</t>
  </si>
  <si>
    <t>TC-095</t>
  </si>
  <si>
    <t>Train Schedule &amp; Route Lookup for KURIGRAM EXPRESS (798)</t>
  </si>
  <si>
    <t>1. Navigate to /train-information page.
2. Click 'SELECT TRAIN' input field.
3. Type or select train 'KURIGRAM EXPRESS (798)'.
4. Click train item from dropdown list.
5. Confirm schedule, stoppage, and fare table renders accurately.</t>
  </si>
  <si>
    <t>Train: MADHUMATI EXPRESS (756)</t>
  </si>
  <si>
    <t>System fetches and displays complete schedule and route information for KURIGRAM EXPRESS (798).</t>
  </si>
  <si>
    <t>TC-096</t>
  </si>
  <si>
    <t>Train Schedule &amp; Route Lookup for MADHUMATI EXPRESS (756)</t>
  </si>
  <si>
    <t>1. Navigate to /train-information page.
2. Click 'SELECT TRAIN' input field.
3. Type or select train 'MADHUMATI EXPRESS (756)'.
4. Click train item from dropdown list.
5. Confirm schedule, stoppage, and fare table renders accurately.</t>
  </si>
  <si>
    <t>Train: BARENDRA EXPRESS (731)</t>
  </si>
  <si>
    <t>System fetches and displays complete schedule and route information for MADHUMATI EXPRESS (756).</t>
  </si>
  <si>
    <t>TC-097</t>
  </si>
  <si>
    <t>Train Schedule &amp; Route Lookup for BARENDRA EXPRESS (731)</t>
  </si>
  <si>
    <t>1. Navigate to /train-information page.
2. Click 'SELECT TRAIN' input field.
3. Type or select train 'BARENDRA EXPRESS (731)'.
4. Click train item from dropdown list.
5. Confirm schedule, stoppage, and fare table renders accurately.</t>
  </si>
  <si>
    <t>Train: DRUTOJAN EXPRESS (757)</t>
  </si>
  <si>
    <t>System fetches and displays complete schedule and route information for BARENDRA EXPRESS (731).</t>
  </si>
  <si>
    <t>TC-098</t>
  </si>
  <si>
    <t>Train Schedule &amp; Route Lookup for DRUTOJAN EXPRESS (757)</t>
  </si>
  <si>
    <t>1. Navigate to /train-information page.
2. Click 'SELECT TRAIN' input field.
3. Type or select train 'DRUTOJAN EXPRESS (757)'.
4. Click train item from dropdown list.
5. Confirm schedule, stoppage, and fare table renders accurately.</t>
  </si>
  <si>
    <t>Train: DRUTOJAN EXPRESS (758)</t>
  </si>
  <si>
    <t>System fetches and displays complete schedule and route information for DRUTOJAN EXPRESS (757).</t>
  </si>
  <si>
    <t>TC-099</t>
  </si>
  <si>
    <t>Train Schedule &amp; Route Lookup for DRUTOJAN EXPRESS (758)</t>
  </si>
  <si>
    <t>1. Navigate to /train-information page.
2. Click 'SELECT TRAIN' input field.
3. Type or select train 'DRUTOJAN EXPRESS (758)'.
4. Click train item from dropdown list.
5. Confirm schedule, stoppage, and fare table renders accurately.</t>
  </si>
  <si>
    <t>Train: NILSAGAR EXPRESS (765)</t>
  </si>
  <si>
    <t>System fetches and displays complete schedule and route information for DRUTOJAN EXPRESS (758).</t>
  </si>
  <si>
    <t>TC-100</t>
  </si>
  <si>
    <t>Train Schedule &amp; Route Lookup for NILSAGAR EXPRESS (765)</t>
  </si>
  <si>
    <t>1. Navigate to /train-information page.
2. Click 'SELECT TRAIN' input field.
3. Type or select train 'NILSAGAR EXPRESS (765)'.
4. Click train item from dropdown list.
5. Confirm schedule, stoppage, and fare table renders accurately.</t>
  </si>
  <si>
    <t>Train: CHITRA EXPRESS (763)</t>
  </si>
  <si>
    <t>System fetches and displays complete schedule and route information for NILSAGAR EXPRESS (765).</t>
  </si>
  <si>
    <t>TC-101</t>
  </si>
  <si>
    <t>Train Schedule &amp; Route Lookup for CHITRA EXPRESS (763)</t>
  </si>
  <si>
    <t>1. Navigate to /train-information page.
2. Click 'SELECT TRAIN' input field.
3. Type or select train 'CHITRA EXPRESS (763)'.
4. Click train item from dropdown list.
5. Confirm schedule, stoppage, and fare table renders accurately.</t>
  </si>
  <si>
    <t>Train: NILSAGAR EXPRESS (766)</t>
  </si>
  <si>
    <t>System fetches and displays complete schedule and route information for CHITRA EXPRESS (763).</t>
  </si>
  <si>
    <t>TC-102</t>
  </si>
  <si>
    <t>Train Schedule &amp; Route Lookup for NILSAGAR EXPRESS (766)</t>
  </si>
  <si>
    <t>1. Navigate to /train-information page.
2. Click 'SELECT TRAIN' input field.
3. Type or select train 'NILSAGAR EXPRESS (766)'.
4. Click train item from dropdown list.
5. Confirm schedule, stoppage, and fare table renders accurately.</t>
  </si>
  <si>
    <t>Train: CHITRA EXPRESS (764)</t>
  </si>
  <si>
    <t>System fetches and displays complete schedule and route information for NILSAGAR EXPRESS (766).</t>
  </si>
  <si>
    <t>TC-103</t>
  </si>
  <si>
    <t>Train Schedule &amp; Route Lookup for CHITRA EXPRESS (764)</t>
  </si>
  <si>
    <t>1. Navigate to /train-information page.
2. Click 'SELECT TRAIN' input field.
3. Type or select train 'CHITRA EXPRESS (764)'.
4. Click train item from dropdown list.
5. Confirm schedule, stoppage, and fare table renders accurately.</t>
  </si>
  <si>
    <t>Train: KAPOTAKSHA EXPRESS (715)</t>
  </si>
  <si>
    <t>System fetches and displays complete schedule and route information for CHITRA EXPRESS (764).</t>
  </si>
  <si>
    <t>TC-104</t>
  </si>
  <si>
    <t>Train Schedule &amp; Route Lookup for KAPOTAKSHA EXPRESS (715)</t>
  </si>
  <si>
    <t>1. Navigate to /train-information page.
2. Click 'SELECT TRAIN' input field.
3. Type or select train 'KAPOTAKSHA EXPRESS (715)'.
4. Click train item from dropdown list.
5. Confirm schedule, stoppage, and fare table renders accurately.</t>
  </si>
  <si>
    <t>Train: KAPOTAKSHA EXPRESS (716)</t>
  </si>
  <si>
    <t>System fetches and displays complete schedule and route information for KAPOTAKSHA EXPRESS (715).</t>
  </si>
  <si>
    <t>TC-105</t>
  </si>
  <si>
    <t>Train Schedule &amp; Route Lookup for KAPOTAKSHA EXPRESS (716)</t>
  </si>
  <si>
    <t>1. Navigate to /train-information page.
2. Click 'SELECT TRAIN' input field.
3. Type or select train 'KAPOTAKSHA EXPRESS (716)'.
4. Click train item from dropdown list.
5. Confirm schedule, stoppage, and fare table renders accurately.</t>
  </si>
  <si>
    <t>Train: SUNDARBAN EXPRESS (725)</t>
  </si>
  <si>
    <t>System fetches and displays complete schedule and route information for KAPOTAKSHA EXPRESS (716).</t>
  </si>
  <si>
    <t>TC-106</t>
  </si>
  <si>
    <t>Train Schedule &amp; Route Lookup for SUNDARBAN EXPRESS (725)</t>
  </si>
  <si>
    <t>1. Navigate to /train-information page.
2. Click 'SELECT TRAIN' input field.
3. Type or select train 'SUNDARBAN EXPRESS (725)'.
4. Click train item from dropdown list.
5. Confirm schedule, stoppage, and fare table renders accurately.</t>
  </si>
  <si>
    <t>Train: SUNDARBAN EXPRESS (726)</t>
  </si>
  <si>
    <t>System fetches and displays complete schedule and route information for SUNDARBAN EXPRESS (725).</t>
  </si>
  <si>
    <t>TC-107</t>
  </si>
  <si>
    <t>Train Schedule &amp; Route Lookup for SUNDARBAN EXPRESS (726)</t>
  </si>
  <si>
    <t>1. Navigate to /train-information page.
2. Click 'SELECT TRAIN' input field.
3. Type or select train 'SUNDARBAN EXPRESS (726)'.
4. Click train item from dropdown list.
5. Confirm schedule, stoppage, and fare table renders accurately.</t>
  </si>
  <si>
    <t>Train: BENAPOLE EXPRESS (795)</t>
  </si>
  <si>
    <t>System fetches and displays complete schedule and route information for SUNDARBAN EXPRESS (726).</t>
  </si>
  <si>
    <t>TC-108</t>
  </si>
  <si>
    <t>Train Schedule &amp; Route Lookup for BENAPOLE EXPRESS (795)</t>
  </si>
  <si>
    <t>1. Navigate to /train-information page.
2. Click 'SELECT TRAIN' input field.
3. Type or select train 'BENAPOLE EXPRESS (795)'.
4. Click train item from dropdown list.
5. Confirm schedule, stoppage, and fare table renders accurately.</t>
  </si>
  <si>
    <t>Train: BENAPOLE EXPRESS (796)</t>
  </si>
  <si>
    <t>System fetches and displays complete schedule and route information for BENAPOLE EXPRESS (795).</t>
  </si>
  <si>
    <t>TC-109</t>
  </si>
  <si>
    <t>Train Schedule &amp; Route Lookup for BENAPOLE EXPRESS (796)</t>
  </si>
  <si>
    <t>1. Navigate to /train-information page.
2. Click 'SELECT TRAIN' input field.
3. Type or select train 'BENAPOLE EXPRESS (796)'.
4. Click train item from dropdown list.
5. Confirm schedule, stoppage, and fare table renders accurately.</t>
  </si>
  <si>
    <t>Train: TITUMIR EXPRESS (733)</t>
  </si>
  <si>
    <t>System fetches and displays complete schedule and route information for BENAPOLE EXPRESS (796).</t>
  </si>
  <si>
    <t>TC-110</t>
  </si>
  <si>
    <t>Train Schedule &amp; Route Lookup for TITUMIR EXPRESS (733)</t>
  </si>
  <si>
    <t>1. Navigate to /train-information page.
2. Click 'SELECT TRAIN' input field.
3. Type or select train 'TITUMIR EXPRESS (733)'.
4. Click train item from dropdown list.
5. Confirm schedule, stoppage, and fare table renders accurately.</t>
  </si>
  <si>
    <t>Train: TITUMIR EXPRESS (734)</t>
  </si>
  <si>
    <t>System fetches and displays complete schedule and route information for TITUMIR EXPRESS (733).</t>
  </si>
  <si>
    <t>TC-111</t>
  </si>
  <si>
    <t>Train Schedule &amp; Route Lookup for TITUMIR EXPRESS (734)</t>
  </si>
  <si>
    <t>1. Navigate to /train-information page.
2. Click 'SELECT TRAIN' input field.
3. Type or select train 'TITUMIR EXPRESS (734)'.
4. Click train item from dropdown list.
5. Confirm schedule, stoppage, and fare table renders accurately.</t>
  </si>
  <si>
    <t>Train: SAGARDARI EXPRESS (761)</t>
  </si>
  <si>
    <t>System fetches and displays complete schedule and route information for TITUMIR EXPRESS (734).</t>
  </si>
  <si>
    <t>TC-112</t>
  </si>
  <si>
    <t>Train Schedule &amp; Route Lookup for SAGARDARI EXPRESS (761)</t>
  </si>
  <si>
    <t>1. Navigate to /train-information page.
2. Click 'SELECT TRAIN' input field.
3. Type or select train 'SAGARDARI EXPRESS (761)'.
4. Click train item from dropdown list.
5. Confirm schedule, stoppage, and fare table renders accurately.</t>
  </si>
  <si>
    <t>Train: SAGARDARI EXPRESS (762)</t>
  </si>
  <si>
    <t>System fetches and displays complete schedule and route information for SAGARDARI EXPRESS (761).</t>
  </si>
  <si>
    <t>TC-113</t>
  </si>
  <si>
    <t>Train Schedule &amp; Route Lookup for SAGARDARI EXPRESS (762)</t>
  </si>
  <si>
    <t>1. Navigate to /train-information page.
2. Click 'SELECT TRAIN' input field.
3. Type or select train 'SAGARDARI EXPRESS (762)'.
4. Click train item from dropdown list.
5. Confirm schedule, stoppage, and fare table renders accurately.</t>
  </si>
  <si>
    <t>Train: BANGLABANDHA EXPRESS (803)</t>
  </si>
  <si>
    <t>System fetches and displays complete schedule and route information for SAGARDARI EXPRESS (762).</t>
  </si>
  <si>
    <t>TC-114</t>
  </si>
  <si>
    <t>Train Schedule &amp; Route Lookup for BANGLABANDHA EXPRESS (803)</t>
  </si>
  <si>
    <t>1. Navigate to /train-information page.
2. Click 'SELECT TRAIN' input field.
3. Type or select train 'BANGLABANDHA EXPRESS (803)'.
4. Click train item from dropdown list.
5. Confirm schedule, stoppage, and fare table renders accurately.</t>
  </si>
  <si>
    <t>Train: BANGLABANDHA EXPRESS (804)</t>
  </si>
  <si>
    <t>System fetches and displays complete schedule and route information for BANGLABANDHA EXPRESS (803).</t>
  </si>
  <si>
    <t>TC-115</t>
  </si>
  <si>
    <t>Train Schedule &amp; Route Lookup for BANGLABANDHA EXPRESS (804)</t>
  </si>
  <si>
    <t>1. Navigate to /train-information page.
2. Click 'SELECT TRAIN' input field.
3. Type or select train 'BANGLABANDHA EXPRESS (804)'.
4. Click train item from dropdown list.
5. Confirm schedule, stoppage, and fare table renders accurately.</t>
  </si>
  <si>
    <t>Train: DHALARCHAR EXPRESS (779)</t>
  </si>
  <si>
    <t>System fetches and displays complete schedule and route information for BANGLABANDHA EXPRESS (804).</t>
  </si>
  <si>
    <t>TC-116</t>
  </si>
  <si>
    <t>Train Schedule &amp; Route Lookup for DHALARCHAR EXPRESS (779)</t>
  </si>
  <si>
    <t>1. Navigate to /train-information page.
2. Click 'SELECT TRAIN' input field.
3. Type or select train 'DHALARCHAR EXPRESS (779)'.
4. Click train item from dropdown list.
5. Confirm schedule, stoppage, and fare table renders accurately.</t>
  </si>
  <si>
    <t>Train: DHALARCHAR EXPRESS (780)</t>
  </si>
  <si>
    <t>System fetches and displays complete schedule and route information for DHALARCHAR EXPRESS (779).</t>
  </si>
  <si>
    <t>TC-117</t>
  </si>
  <si>
    <t>Train Schedule &amp; Route Lookup for DHALARCHAR EXPRESS (780)</t>
  </si>
  <si>
    <t>1. Navigate to /train-information page.
2. Click 'SELECT TRAIN' input field.
3. Type or select train 'DHALARCHAR EXPRESS (780)'.
4. Click train item from dropdown list.
5. Confirm schedule, stoppage, and fare table renders accurately.</t>
  </si>
  <si>
    <t>Train: KOROTOA EXPRESS (713)</t>
  </si>
  <si>
    <t>System fetches and displays complete schedule and route information for DHALARCHAR EXPRESS (780).</t>
  </si>
  <si>
    <t>TC-118</t>
  </si>
  <si>
    <t>Train Schedule &amp; Route Lookup for KOROTOA EXPRESS (713)</t>
  </si>
  <si>
    <t>1. Navigate to /train-information page.
2. Click 'SELECT TRAIN' input field.
3. Type or select train 'KOROTOA EXPRESS (713)'.
4. Click train item from dropdown list.
5. Confirm schedule, stoppage, and fare table renders accurately.</t>
  </si>
  <si>
    <t>Train: KOROTOA EXPRESS (714)</t>
  </si>
  <si>
    <t>System fetches and displays complete schedule and route information for KOROTOA EXPRESS (713).</t>
  </si>
  <si>
    <t>TC-119</t>
  </si>
  <si>
    <t>Train Schedule &amp; Route Lookup for KOROTOA EXPRESS (714)</t>
  </si>
  <si>
    <t>1. Navigate to /train-information page.
2. Click 'SELECT TRAIN' input field.
3. Type or select train 'KOROTOA EXPRESS (714)'.
4. Click train item from dropdown list.
5. Confirm schedule, stoppage, and fare table renders accurately.</t>
  </si>
  <si>
    <t>Train: DOLONCHAPA EXPRESS (768)</t>
  </si>
  <si>
    <t>System fetches and displays complete schedule and route information for KOROTOA EXPRESS (714).</t>
  </si>
  <si>
    <t>TC-120</t>
  </si>
  <si>
    <t>Train Schedule &amp; Route Lookup for DOLONCHAPA EXPRESS (768)</t>
  </si>
  <si>
    <t>1. Navigate to /train-information page.
2. Click 'SELECT TRAIN' input field.
3. Type or select train 'DOLONCHAPA EXPRESS (768)'.
4. Click train item from dropdown list.
5. Confirm schedule, stoppage, and fare table renders accurately.</t>
  </si>
  <si>
    <t>Train: DOLONCHAPA EXPRESS (767)</t>
  </si>
  <si>
    <t>System fetches and displays complete schedule and route information for DOLONCHAPA EXPRESS (768).</t>
  </si>
  <si>
    <t>TC-121</t>
  </si>
  <si>
    <t>Train Schedule &amp; Route Lookup for DOLONCHAPA EXPRESS (767)</t>
  </si>
  <si>
    <t>1. Navigate to /train-information page.
2. Click 'SELECT TRAIN' input field.
3. Type or select train 'DOLONCHAPA EXPRESS (767)'.
4. Click train item from dropdown list.
5. Confirm schedule, stoppage, and fare table renders accurately.</t>
  </si>
  <si>
    <t>Train: BANALATA EXPRESS (791)</t>
  </si>
  <si>
    <t>System fetches and displays complete schedule and route information for DOLONCHAPA EXPRESS (767).</t>
  </si>
  <si>
    <t>TC-122</t>
  </si>
  <si>
    <t>Train Schedule &amp; Route Lookup for BANALATA EXPRESS (791)</t>
  </si>
  <si>
    <t>1. Navigate to /train-information page.
2. Click 'SELECT TRAIN' input field.
3. Type or select train 'BANALATA EXPRESS (791)'.
4. Click train item from dropdown list.
5. Confirm schedule, stoppage, and fare table renders accurately.</t>
  </si>
  <si>
    <t>Train: BANALATA EXPRESS (792)</t>
  </si>
  <si>
    <t>System fetches and displays complete schedule and route information for BANALATA EXPRESS (791).</t>
  </si>
  <si>
    <t>TC-123</t>
  </si>
  <si>
    <t>Train Schedule &amp; Route Lookup for BANALATA EXPRESS (792)</t>
  </si>
  <si>
    <t>1. Navigate to /train-information page.
2. Click 'SELECT TRAIN' input field.
3. Type or select train 'BANALATA EXPRESS (792)'.
4. Click train item from dropdown list.
5. Confirm schedule, stoppage, and fare table renders accurately.</t>
  </si>
  <si>
    <t>Train: SONAR BANGLA EXPRESS (787)</t>
  </si>
  <si>
    <t>System fetches and displays complete schedule and route information for BANALATA EXPRESS (792).</t>
  </si>
  <si>
    <t>TC-124</t>
  </si>
  <si>
    <t>Train Schedule &amp; Route Lookup for SONAR BANGLA EXPRESS (787)</t>
  </si>
  <si>
    <t>1. Navigate to /train-information page.
2. Click 'SELECT TRAIN' input field.
3. Type or select train 'SONAR BANGLA EXPRESS (787)'.
4. Click train item from dropdown list.
5. Confirm schedule, stoppage, and fare table renders accurately.</t>
  </si>
  <si>
    <t>Train: SONAR BANGLA EXPRESS (788)</t>
  </si>
  <si>
    <t>System fetches and displays complete schedule and route information for SONAR BANGLA EXPRESS (787).</t>
  </si>
  <si>
    <t>TC-125</t>
  </si>
  <si>
    <t>Train Schedule &amp; Route Lookup for SONAR BANGLA EXPRESS (788)</t>
  </si>
  <si>
    <t>1. Navigate to /train-information page.
2. Click 'SELECT TRAIN' input field.
3. Type or select train 'SONAR BANGLA EXPRESS (788)'.
4. Click train item from dropdown list.
5. Confirm schedule, stoppage, and fare table renders accurately.</t>
  </si>
  <si>
    <t>Train: SUBORNO EXPRESS (701)</t>
  </si>
  <si>
    <t>System fetches and displays complete schedule and route information for SONAR BANGLA EXPRESS (788).</t>
  </si>
  <si>
    <t>TC-126</t>
  </si>
  <si>
    <t>Train Schedule &amp; Route Lookup for SUBORNO EXPRESS (701)</t>
  </si>
  <si>
    <t>1. Navigate to /train-information page.
2. Click 'SELECT TRAIN' input field.
3. Type or select train 'SUBORNO EXPRESS (701)'.
4. Click train item from dropdown list.
5. Confirm schedule, stoppage, and fare table renders accurately.</t>
  </si>
  <si>
    <t>Train: SUBORNO EXPRESS (702)</t>
  </si>
  <si>
    <t>System fetches and displays complete schedule and route information for SUBORNO EXPRESS (701).</t>
  </si>
  <si>
    <t>TC-127</t>
  </si>
  <si>
    <t>Train Schedule &amp; Route Lookup for SUBORNO EXPRESS (702)</t>
  </si>
  <si>
    <t>1. Navigate to /train-information page.
2. Click 'SELECT TRAIN' input field.
3. Type or select train 'SUBORNO EXPRESS (702)'.
4. Click train item from dropdown list.
5. Confirm schedule, stoppage, and fare table renders accurately.</t>
  </si>
  <si>
    <t>Train: MAHANAGAR GODHULI (703)</t>
  </si>
  <si>
    <t>System fetches and displays complete schedule and route information for SUBORNO EXPRESS (702).</t>
  </si>
  <si>
    <t>TC-128</t>
  </si>
  <si>
    <t>Train Schedule &amp; Route Lookup for MAHANAGAR GODHULI (703)</t>
  </si>
  <si>
    <t>1. Navigate to /train-information page.
2. Click 'SELECT TRAIN' input field.
3. Type or select train 'MAHANAGAR GODHULI (703)'.
4. Click train item from dropdown list.
5. Confirm schedule, stoppage, and fare table renders accurately.</t>
  </si>
  <si>
    <t>Train: MAHANAGAR PROVATI (704)</t>
  </si>
  <si>
    <t>System fetches and displays complete schedule and route information for MAHANAGAR GODHULI (703).</t>
  </si>
  <si>
    <t>TC-129</t>
  </si>
  <si>
    <t>Train Schedule &amp; Route Lookup for MAHANAGAR PROVATI (704)</t>
  </si>
  <si>
    <t>1. Navigate to /train-information page.
2. Click 'SELECT TRAIN' input field.
3. Type or select train 'MAHANAGAR PROVATI (704)'.
4. Click train item from dropdown list.
5. Confirm schedule, stoppage, and fare table renders accurately.</t>
  </si>
  <si>
    <t>Train: TISTA EXPRESS (707)</t>
  </si>
  <si>
    <t>System fetches and displays complete schedule and route information for MAHANAGAR PROVATI (704).</t>
  </si>
  <si>
    <t>TC-130</t>
  </si>
  <si>
    <t>Train Schedule &amp; Route Lookup for TISTA EXPRESS (707)</t>
  </si>
  <si>
    <t>1. Navigate to /train-information page.
2. Click 'SELECT TRAIN' input field.
3. Type or select train 'TISTA EXPRESS (707)'.
4. Click train item from dropdown list.
5. Confirm schedule, stoppage, and fare table renders accurately.</t>
  </si>
  <si>
    <t>Train: TISTA EXPRESS (708)</t>
  </si>
  <si>
    <t>System fetches and displays complete schedule and route information for TISTA EXPRESS (707).</t>
  </si>
  <si>
    <t>TC-131</t>
  </si>
  <si>
    <t>Train Schedule &amp; Route Lookup for TISTA EXPRESS (708)</t>
  </si>
  <si>
    <t>1. Navigate to /train-information page.
2. Click 'SELECT TRAIN' input field.
3. Type or select train 'TISTA EXPRESS (708)'.
4. Click train item from dropdown list.
5. Confirm schedule, stoppage, and fare table renders accurately.</t>
  </si>
  <si>
    <t>Train: UPAKUL EXPRESS (711)</t>
  </si>
  <si>
    <t>System fetches and displays complete schedule and route information for TISTA EXPRESS (708).</t>
  </si>
  <si>
    <t>TC-132</t>
  </si>
  <si>
    <t>Train Schedule &amp; Route Lookup for UPAKUL EXPRESS (711)</t>
  </si>
  <si>
    <t>1. Navigate to /train-information page.
2. Click 'SELECT TRAIN' input field.
3. Type or select train 'UPAKUL EXPRESS (711)'.
4. Click train item from dropdown list.
5. Confirm schedule, stoppage, and fare table renders accurately.</t>
  </si>
  <si>
    <t>Train: UPAKUL EXPRESS (712)</t>
  </si>
  <si>
    <t>System fetches and displays complete schedule and route information for UPAKUL EXPRESS (711).</t>
  </si>
  <si>
    <t>TC-133</t>
  </si>
  <si>
    <t>Train Schedule &amp; Route Lookup for UPAKUL EXPRESS (712)</t>
  </si>
  <si>
    <t>1. Navigate to /train-information page.
2. Click 'SELECT TRAIN' input field.
3. Type or select train 'UPAKUL EXPRESS (712)'.
4. Click train item from dropdown list.
5. Confirm schedule, stoppage, and fare table renders accurately.</t>
  </si>
  <si>
    <t>Train: PARABAT EXPRESS (709)</t>
  </si>
  <si>
    <t>System fetches and displays complete schedule and route information for UPAKUL EXPRESS (712).</t>
  </si>
  <si>
    <t>TC-134</t>
  </si>
  <si>
    <t>Train Schedule &amp; Route Lookup for PARABAT EXPRESS (709)</t>
  </si>
  <si>
    <t>1. Navigate to /train-information page.
2. Click 'SELECT TRAIN' input field.
3. Type or select train 'PARABAT EXPRESS (709)'.
4. Click train item from dropdown list.
5. Confirm schedule, stoppage, and fare table renders accurately.</t>
  </si>
  <si>
    <t>Train: PARABAT EXPRESS (710)</t>
  </si>
  <si>
    <t>System fetches and displays complete schedule and route information for PARABAT EXPRESS (709).</t>
  </si>
  <si>
    <t>TC-135</t>
  </si>
  <si>
    <t>Train Schedule &amp; Route Lookup for PARABAT EXPRESS (710)</t>
  </si>
  <si>
    <t>1. Navigate to /train-information page.
2. Click 'SELECT TRAIN' input field.
3. Type or select train 'PARABAT EXPRESS (710)'.
4. Click train item from dropdown list.
5. Confirm schedule, stoppage, and fare table renders accurately.</t>
  </si>
  <si>
    <t>Train: JAYENTIKA EXPRESS (717)</t>
  </si>
  <si>
    <t>System fetches and displays complete schedule and route information for PARABAT EXPRESS (710).</t>
  </si>
  <si>
    <t>TC-136</t>
  </si>
  <si>
    <t>Train Schedule &amp; Route Lookup for JAYENTIKA EXPRESS (717)</t>
  </si>
  <si>
    <t>1. Navigate to /train-information page.
2. Click 'SELECT TRAIN' input field.
3. Type or select train 'JAYENTIKA EXPRESS (717)'.
4. Click train item from dropdown list.
5. Confirm schedule, stoppage, and fare table renders accurately.</t>
  </si>
  <si>
    <t>Train: JAYENTIKA EXPRESS (718)</t>
  </si>
  <si>
    <t>System fetches and displays complete schedule and route information for JAYENTIKA EXPRESS (717).</t>
  </si>
  <si>
    <t>TC-137</t>
  </si>
  <si>
    <t>Train Schedule &amp; Route Lookup for JAYENTIKA EXPRESS (718)</t>
  </si>
  <si>
    <t>1. Navigate to /train-information page.
2. Click 'SELECT TRAIN' input field.
3. Type or select train 'JAYENTIKA EXPRESS (718)'.
4. Click train item from dropdown list.
5. Confirm schedule, stoppage, and fare table renders accurately.</t>
  </si>
  <si>
    <t>Train: PAHARIKA EXPRESS (719)</t>
  </si>
  <si>
    <t>System fetches and displays complete schedule and route information for JAYENTIKA EXPRESS (718).</t>
  </si>
  <si>
    <t>TC-138</t>
  </si>
  <si>
    <t>Train Schedule &amp; Route Lookup for PAHARIKA EXPRESS (719)</t>
  </si>
  <si>
    <t>1. Navigate to /train-information page.
2. Click 'SELECT TRAIN' input field.
3. Type or select train 'PAHARIKA EXPRESS (719)'.
4. Click train item from dropdown list.
5. Confirm schedule, stoppage, and fare table renders accurately.</t>
  </si>
  <si>
    <t>Train: PAHARIKA EXPRESS (720)</t>
  </si>
  <si>
    <t>System fetches and displays complete schedule and route information for PAHARIKA EXPRESS (719).</t>
  </si>
  <si>
    <t>TC-139</t>
  </si>
  <si>
    <t>Train Schedule &amp; Route Lookup for PAHARIKA EXPRESS (720)</t>
  </si>
  <si>
    <t>1. Navigate to /train-information page.
2. Click 'SELECT TRAIN' input field.
3. Type or select train 'PAHARIKA EXPRESS (720)'.
4. Click train item from dropdown list.
5. Confirm schedule, stoppage, and fare table renders accurately.</t>
  </si>
  <si>
    <t>Train: MOHANAGAR EXPRESS (721)</t>
  </si>
  <si>
    <t>System fetches and displays complete schedule and route information for PAHARIKA EXPRESS (720).</t>
  </si>
  <si>
    <t>TC-140</t>
  </si>
  <si>
    <t>Train Schedule &amp; Route Lookup for MOHANAGAR EXPRESS (721)</t>
  </si>
  <si>
    <t>1. Navigate to /train-information page.
2. Click 'SELECT TRAIN' input field.
3. Type or select train 'MOHANAGAR EXPRESS (721)'.
4. Click train item from dropdown list.
5. Confirm schedule, stoppage, and fare table renders accurately.</t>
  </si>
  <si>
    <t>Train: MOHANAGAR EXPRESS (722)</t>
  </si>
  <si>
    <t>System fetches and displays complete schedule and route information for MOHANAGAR EXPRESS (721).</t>
  </si>
  <si>
    <t>TC-141</t>
  </si>
  <si>
    <t>Train Schedule &amp; Route Lookup for MOHANAGAR EXPRESS (722)</t>
  </si>
  <si>
    <t>1. Navigate to /train-information page.
2. Click 'SELECT TRAIN' input field.
3. Type or select train 'MOHANAGAR EXPRESS (722)'.
4. Click train item from dropdown list.
5. Confirm schedule, stoppage, and fare table renders accurately.</t>
  </si>
  <si>
    <t>Train: UDAYAN EXPRESS (723)</t>
  </si>
  <si>
    <t>System fetches and displays complete schedule and route information for MOHANAGAR EXPRESS (722).</t>
  </si>
  <si>
    <t>TC-142</t>
  </si>
  <si>
    <t>Train Schedule &amp; Route Lookup for UDAYAN EXPRESS (723)</t>
  </si>
  <si>
    <t>1. Navigate to /train-information page.
2. Click 'SELECT TRAIN' input field.
3. Type or select train 'UDAYAN EXPRESS (723)'.
4. Click train item from dropdown list.
5. Confirm schedule, stoppage, and fare table renders accurately.</t>
  </si>
  <si>
    <t>Train: UDAYAN EXPRESS (724)</t>
  </si>
  <si>
    <t>System fetches and displays complete schedule and route information for UDAYAN EXPRESS (723).</t>
  </si>
  <si>
    <t>TC-143</t>
  </si>
  <si>
    <t>Train Schedule &amp; Route Lookup for UDAYAN EXPRESS (724)</t>
  </si>
  <si>
    <t>1. Navigate to /train-information page.
2. Click 'SELECT TRAIN' input field.
3. Type or select train 'UDAYAN EXPRESS (724)'.
4. Click train item from dropdown list.
5. Confirm schedule, stoppage, and fare table renders accurately.</t>
  </si>
  <si>
    <t>Train: AGHNIBINA EXPRESS (735)</t>
  </si>
  <si>
    <t>System fetches and displays complete schedule and route information for UDAYAN EXPRESS (724).</t>
  </si>
  <si>
    <t>TC-144</t>
  </si>
  <si>
    <t>Train Schedule &amp; Route Lookup for AGHNIBINA EXPRESS (735)</t>
  </si>
  <si>
    <t>1. Navigate to /train-information page.
2. Click 'SELECT TRAIN' input field.
3. Type or select train 'AGHNIBINA EXPRESS (735)'.
4. Click train item from dropdown list.
5. Confirm schedule, stoppage, and fare table renders accurately.</t>
  </si>
  <si>
    <t>Train: AGHNIBINA EXPRESS (736)</t>
  </si>
  <si>
    <t>System fetches and displays complete schedule and route information for AGHNIBINA EXPRESS (735).</t>
  </si>
  <si>
    <t>TC-145</t>
  </si>
  <si>
    <t>Train Schedule &amp; Route Lookup for AGHNIBINA EXPRESS (736)</t>
  </si>
  <si>
    <t>1. Navigate to /train-information page.
2. Click 'SELECT TRAIN' input field.
3. Type or select train 'AGHNIBINA EXPRESS (736)'.
4. Click train item from dropdown list.
5. Confirm schedule, stoppage, and fare table renders accurately.</t>
  </si>
  <si>
    <t>Train: EGAROSINDHUR PROVATI (737)</t>
  </si>
  <si>
    <t>System fetches and displays complete schedule and route information for AGHNIBINA EXPRESS (736).</t>
  </si>
  <si>
    <t>TC-146</t>
  </si>
  <si>
    <t>Train Schedule &amp; Route Lookup for EGAROSINDHUR PROVATI (737)</t>
  </si>
  <si>
    <t>1. Navigate to /train-information page.
2. Click 'SELECT TRAIN' input field.
3. Type or select train 'EGAROSINDHUR PROVATI (737)'.
4. Click train item from dropdown list.
5. Confirm schedule, stoppage, and fare table renders accurately.</t>
  </si>
  <si>
    <t>Train: EGAROSINDHUR PROVATI (738)</t>
  </si>
  <si>
    <t>System fetches and displays complete schedule and route information for EGAROSINDHUR PROVATI (737).</t>
  </si>
  <si>
    <t>TC-147</t>
  </si>
  <si>
    <t>Train Schedule &amp; Route Lookup for EGAROSINDHUR PROVATI (738)</t>
  </si>
  <si>
    <t>1. Navigate to /train-information page.
2. Click 'SELECT TRAIN' input field.
3. Type or select train 'EGAROSINDHUR PROVATI (738)'.
4. Click train item from dropdown list.
5. Confirm schedule, stoppage, and fare table renders accurately.</t>
  </si>
  <si>
    <t>Train: UPABAN EXPRESS (739)</t>
  </si>
  <si>
    <t>System fetches and displays complete schedule and route information for EGAROSINDHUR PROVATI (738).</t>
  </si>
  <si>
    <t>TC-148</t>
  </si>
  <si>
    <t>Train Schedule &amp; Route Lookup for UPABAN EXPRESS (739)</t>
  </si>
  <si>
    <t>1. Navigate to /train-information page.
2. Click 'SELECT TRAIN' input field.
3. Type or select train 'UPABAN EXPRESS (739)'.
4. Click train item from dropdown list.
5. Confirm schedule, stoppage, and fare table renders accurately.</t>
  </si>
  <si>
    <t>Train: UPABAN EXPRESS (740)</t>
  </si>
  <si>
    <t>System fetches and displays complete schedule and route information for UPABAN EXPRESS (739).</t>
  </si>
  <si>
    <t>TC-149</t>
  </si>
  <si>
    <t>Train Schedule &amp; Route Lookup for UPABAN EXPRESS (740)</t>
  </si>
  <si>
    <t>1. Navigate to /train-information page.
2. Click 'SELECT TRAIN' input field.
3. Type or select train 'UPABAN EXPRESS (740)'.
4. Click train item from dropdown list.
5. Confirm schedule, stoppage, and fare table renders accurately.</t>
  </si>
  <si>
    <t>Train: TURNA (741)</t>
  </si>
  <si>
    <t>System fetches and displays complete schedule and route information for UPABAN EXPRESS (740).</t>
  </si>
  <si>
    <t>TC-150</t>
  </si>
  <si>
    <t>Train Schedule &amp; Route Lookup for TURNA (741)</t>
  </si>
  <si>
    <t>1. Navigate to /train-information page.
2. Click 'SELECT TRAIN' input field.
3. Type or select train 'TURNA (741)'.
4. Click train item from dropdown list.
5. Confirm schedule, stoppage, and fare table renders accurately.</t>
  </si>
  <si>
    <t>Train: TURNA (742)</t>
  </si>
  <si>
    <t>System fetches and displays complete schedule and route information for TURNA (741).</t>
  </si>
  <si>
    <t>TC-151</t>
  </si>
  <si>
    <t>Train Schedule &amp; Route Lookup for TURNA (742)</t>
  </si>
  <si>
    <t>1. Navigate to /train-information page.
2. Click 'SELECT TRAIN' input field.
3. Type or select train 'TURNA (742)'.
4. Click train item from dropdown list.
5. Confirm schedule, stoppage, and fare table renders accurately.</t>
  </si>
  <si>
    <t>Train: BHRAMMAPUTRA EXPRESS (743)</t>
  </si>
  <si>
    <t>System fetches and displays complete schedule and route information for TURNA (742).</t>
  </si>
  <si>
    <t>TC-152</t>
  </si>
  <si>
    <t>Train Schedule &amp; Route Lookup for BHRAMMAPUTRA EXPRESS (743)</t>
  </si>
  <si>
    <t>1. Navigate to /train-information page.
2. Click 'SELECT TRAIN' input field.
3. Type or select train 'BHRAMMAPUTRA EXPRESS (743)'.
4. Click train item from dropdown list.
5. Confirm schedule, stoppage, and fare table renders accurately.</t>
  </si>
  <si>
    <t>Train: BHRAMMAPUTRA EXPRESS (744)</t>
  </si>
  <si>
    <t>System fetches and displays complete schedule and route information for BHRAMMAPUTRA EXPRESS (743).</t>
  </si>
  <si>
    <t>TC-153</t>
  </si>
  <si>
    <t>Train Schedule &amp; Route Lookup for BHRAMMAPUTRA EXPRESS (744)</t>
  </si>
  <si>
    <t>1. Navigate to /train-information page.
2. Click 'SELECT TRAIN' input field.
3. Type or select train 'BHRAMMAPUTRA EXPRESS (744)'.
4. Click train item from dropdown list.
5. Confirm schedule, stoppage, and fare table renders accurately.</t>
  </si>
  <si>
    <t>Train: JAMUNA EXPRESS (745)</t>
  </si>
  <si>
    <t>System fetches and displays complete schedule and route information for BHRAMMAPUTRA EXPRESS (744).</t>
  </si>
  <si>
    <t>TC-154</t>
  </si>
  <si>
    <t>Train Schedule &amp; Route Lookup for JAMUNA EXPRESS (745)</t>
  </si>
  <si>
    <t>1. Navigate to /train-information page.
2. Click 'SELECT TRAIN' input field.
3. Type or select train 'JAMUNA EXPRESS (745)'.
4. Click train item from dropdown list.
5. Confirm schedule, stoppage, and fare table renders accurately.</t>
  </si>
  <si>
    <t>Train: JAMUNA EXPRESS (746)</t>
  </si>
  <si>
    <t>System fetches and displays complete schedule and route information for JAMUNA EXPRESS (745).</t>
  </si>
  <si>
    <t>TC-155</t>
  </si>
  <si>
    <t>Train Schedule &amp; Route Lookup for JAMUNA EXPRESS (746)</t>
  </si>
  <si>
    <t>1. Navigate to /train-information page.
2. Click 'SELECT TRAIN' input field.
3. Type or select train 'JAMUNA EXPRESS (746)'.
4. Click train item from dropdown list.
5. Confirm schedule, stoppage, and fare table renders accurately.</t>
  </si>
  <si>
    <t>Train: EGAROSINDHUR GODHULI (749)</t>
  </si>
  <si>
    <t>System fetches and displays complete schedule and route information for JAMUNA EXPRESS (746).</t>
  </si>
  <si>
    <t>TC-156</t>
  </si>
  <si>
    <t>Train Schedule &amp; Route Lookup for EGAROSINDHUR GODHULI (749)</t>
  </si>
  <si>
    <t>1. Navigate to /train-information page.
2. Click 'SELECT TRAIN' input field.
3. Type or select train 'EGAROSINDHUR GODHULI (749)'.
4. Click train item from dropdown list.
5. Confirm schedule, stoppage, and fare table renders accurately.</t>
  </si>
  <si>
    <t>Train: EGAROSINDHUR GODHULI (750)</t>
  </si>
  <si>
    <t>System fetches and displays complete schedule and route information for EGAROSINDHUR GODHULI (749).</t>
  </si>
  <si>
    <t>TC-157</t>
  </si>
  <si>
    <t>Train Schedule &amp; Route Lookup for EGAROSINDHUR GODHULI (750)</t>
  </si>
  <si>
    <t>1. Navigate to /train-information page.
2. Click 'SELECT TRAIN' input field.
3. Type or select train 'EGAROSINDHUR GODHULI (750)'.
4. Click train item from dropdown list.
5. Confirm schedule, stoppage, and fare table renders accurately.</t>
  </si>
  <si>
    <t>Train: KALNI EXPRESS (773)</t>
  </si>
  <si>
    <t>System fetches and displays complete schedule and route information for EGAROSINDHUR GODHULI (750).</t>
  </si>
  <si>
    <t>TC-158</t>
  </si>
  <si>
    <t>Train Schedule &amp; Route Lookup for KALNI EXPRESS (773)</t>
  </si>
  <si>
    <t>1. Navigate to /train-information page.
2. Click 'SELECT TRAIN' input field.
3. Type or select train 'KALNI EXPRESS (773)'.
4. Click train item from dropdown list.
5. Confirm schedule, stoppage, and fare table renders accurately.</t>
  </si>
  <si>
    <t>Train: KALNI EXPRESS (774)</t>
  </si>
  <si>
    <t>System fetches and displays complete schedule and route information for KALNI EXPRESS (773).</t>
  </si>
  <si>
    <t>TC-159</t>
  </si>
  <si>
    <t>Train Schedule &amp; Route Lookup for KALNI EXPRESS (774)</t>
  </si>
  <si>
    <t>1. Navigate to /train-information page.
2. Click 'SELECT TRAIN' input field.
3. Type or select train 'KALNI EXPRESS (774)'.
4. Click train item from dropdown list.
5. Confirm schedule, stoppage, and fare table renders accurately.</t>
  </si>
  <si>
    <t>Train: KISHORGANJ EXPRESS (781)</t>
  </si>
  <si>
    <t>System fetches and displays complete schedule and route information for KALNI EXPRESS (774).</t>
  </si>
  <si>
    <t>TC-160</t>
  </si>
  <si>
    <t>Train Schedule &amp; Route Lookup for KISHORGANJ EXPRESS (781)</t>
  </si>
  <si>
    <t>1. Navigate to /train-information page.
2. Click 'SELECT TRAIN' input field.
3. Type or select train 'KISHORGANJ EXPRESS (781)'.
4. Click train item from dropdown list.
5. Confirm schedule, stoppage, and fare table renders accurately.</t>
  </si>
  <si>
    <t>Train: KISHORGANJ EXPRESS (782)</t>
  </si>
  <si>
    <t>System fetches and displays complete schedule and route information for KISHORGANJ EXPRESS (781).</t>
  </si>
  <si>
    <t>TC-161</t>
  </si>
  <si>
    <t>Train Schedule &amp; Route Lookup for KISHORGANJ EXPRESS (782)</t>
  </si>
  <si>
    <t>1. Navigate to /train-information page.
2. Click 'SELECT TRAIN' input field.
3. Type or select train 'KISHORGANJ EXPRESS (782)'.
4. Click train item from dropdown list.
5. Confirm schedule, stoppage, and fare table renders accurately.</t>
  </si>
  <si>
    <t>Train: BIJOY EXPRESS (785)</t>
  </si>
  <si>
    <t>System fetches and displays complete schedule and route information for KISHORGANJ EXPRESS (782).</t>
  </si>
  <si>
    <t>TC-162</t>
  </si>
  <si>
    <t>Train Schedule &amp; Route Lookup for BIJOY EXPRESS (785)</t>
  </si>
  <si>
    <t>1. Navigate to /train-information page.
2. Click 'SELECT TRAIN' input field.
3. Type or select train 'BIJOY EXPRESS (785)'.
4. Click train item from dropdown list.
5. Confirm schedule, stoppage, and fare table renders accurately.</t>
  </si>
  <si>
    <t>Train: BIJOY EXPRESS (786)</t>
  </si>
  <si>
    <t>System fetches and displays complete schedule and route information for BIJOY EXPRESS (785).</t>
  </si>
  <si>
    <t>TC-163</t>
  </si>
  <si>
    <t>Train Schedule &amp; Route Lookup for BIJOY EXPRESS (786)</t>
  </si>
  <si>
    <t>1. Navigate to /train-information page.
2. Click 'SELECT TRAIN' input field.
3. Type or select train 'BIJOY EXPRESS (786)'.
4. Click train item from dropdown list.
5. Confirm schedule, stoppage, and fare table renders accurately.</t>
  </si>
  <si>
    <t>Train: MOHONGANJ EXPRESS (789)</t>
  </si>
  <si>
    <t>System fetches and displays complete schedule and route information for BIJOY EXPRESS (786).</t>
  </si>
  <si>
    <t>TC-164</t>
  </si>
  <si>
    <t>Train Schedule &amp; Route Lookup for MOHONGANJ EXPRESS (789)</t>
  </si>
  <si>
    <t>1. Navigate to /train-information page.
2. Click 'SELECT TRAIN' input field.
3. Type or select train 'MOHONGANJ EXPRESS (789)'.
4. Click train item from dropdown list.
5. Confirm schedule, stoppage, and fare table renders accurately.</t>
  </si>
  <si>
    <t>Train: MOHONGANJ EXPRESS (790)</t>
  </si>
  <si>
    <t>System fetches and displays complete schedule and route information for MOHONGANJ EXPRESS (789).</t>
  </si>
  <si>
    <t>TC-165</t>
  </si>
  <si>
    <t>Train Schedule &amp; Route Lookup for MOHONGANJ EXPRESS (790)</t>
  </si>
  <si>
    <t>1. Navigate to /train-information page.
2. Click 'SELECT TRAIN' input field.
3. Type or select train 'MOHONGANJ EXPRESS (790)'.
4. Click train item from dropdown list.
5. Confirm schedule, stoppage, and fare table renders accurately.</t>
  </si>
  <si>
    <t>Train: JAMALPUR EXPRESS (799)</t>
  </si>
  <si>
    <t>System fetches and displays complete schedule and route information for MOHONGANJ EXPRESS (790).</t>
  </si>
  <si>
    <t>TC-166</t>
  </si>
  <si>
    <t>Train Schedule &amp; Route Lookup for JAMALPUR EXPRESS (799)</t>
  </si>
  <si>
    <t>1. Navigate to /train-information page.
2. Click 'SELECT TRAIN' input field.
3. Type or select train 'JAMALPUR EXPRESS (799)'.
4. Click train item from dropdown list.
5. Confirm schedule, stoppage, and fare table renders accurately.</t>
  </si>
  <si>
    <t>Train: JAMALPUR EXPRESS (800)</t>
  </si>
  <si>
    <t>System fetches and displays complete schedule and route information for JAMALPUR EXPRESS (799).</t>
  </si>
  <si>
    <t>TC-167</t>
  </si>
  <si>
    <t>Train Schedule &amp; Route Lookup for JAMALPUR EXPRESS (800)</t>
  </si>
  <si>
    <t>1. Navigate to /train-information page.
2. Click 'SELECT TRAIN' input field.
3. Type or select train 'JAMALPUR EXPRESS (800)'.
4. Click train item from dropdown list.
5. Confirm schedule, stoppage, and fare table renders accurately.</t>
  </si>
  <si>
    <t>Train: CHATTALA EXPRESS (801)</t>
  </si>
  <si>
    <t>System fetches and displays complete schedule and route information for JAMALPUR EXPRESS (800).</t>
  </si>
  <si>
    <t>TC-168</t>
  </si>
  <si>
    <t>Train Schedule &amp; Route Lookup for CHATTALA EXPRESS (801)</t>
  </si>
  <si>
    <t>1. Navigate to /train-information page.
2. Click 'SELECT TRAIN' input field.
3. Type or select train 'CHATTALA EXPRESS (801)'.
4. Click train item from dropdown list.
5. Confirm schedule, stoppage, and fare table renders accurately.</t>
  </si>
  <si>
    <t>Train: CHATTALA EXPRESS (802)</t>
  </si>
  <si>
    <t>System fetches and displays complete schedule and route information for CHATTALA EXPRESS (801).</t>
  </si>
  <si>
    <t>TC-169</t>
  </si>
  <si>
    <t>Train Schedule &amp; Route Lookup for CHATTALA EXPRESS (802)</t>
  </si>
  <si>
    <t>1. Navigate to /train-information page.
2. Click 'SELECT TRAIN' input field.
3. Type or select train 'CHATTALA EXPRESS (802)'.
4. Click train item from dropdown list.
5. Confirm schedule, stoppage, and fare table renders accurately.</t>
  </si>
  <si>
    <t>Train: MEGHNA EXPRESS (729)</t>
  </si>
  <si>
    <t>System fetches and displays complete schedule and route information for CHATTALA EXPRESS (802).</t>
  </si>
  <si>
    <t>TC-170</t>
  </si>
  <si>
    <t>Train Schedule &amp; Route Lookup for MEGHNA EXPRESS (729)</t>
  </si>
  <si>
    <t>1. Navigate to /train-information page.
2. Click 'SELECT TRAIN' input field.
3. Type or select train 'MEGHNA EXPRESS (729)'.
4. Click train item from dropdown list.
5. Confirm schedule, stoppage, and fare table renders accurately.</t>
  </si>
  <si>
    <t>Train: MEGHNA EXPRESS (730)</t>
  </si>
  <si>
    <t>System fetches and displays complete schedule and route information for MEGHNA EXPRESS (729).</t>
  </si>
  <si>
    <t>TC-171</t>
  </si>
  <si>
    <t>Train Schedule &amp; Route Lookup for MEGHNA EXPRESS (730)</t>
  </si>
  <si>
    <t>1. Navigate to /train-information page.
2. Click 'SELECT TRAIN' input field.
3. Type or select train 'MEGHNA EXPRESS (730)'.
4. Click train item from dropdown list.
5. Confirm schedule, stoppage, and fare table renders accurately.</t>
  </si>
  <si>
    <t>Train: HAWR EXPRESS (777)</t>
  </si>
  <si>
    <t>System fetches and displays complete schedule and route information for MEGHNA EXPRESS (730).</t>
  </si>
  <si>
    <t>TC-172</t>
  </si>
  <si>
    <t>Train Schedule &amp; Route Lookup for HAWR EXPRESS (777)</t>
  </si>
  <si>
    <t>1. Navigate to /train-information page.
2. Click 'SELECT TRAIN' input field.
3. Type or select train 'HAWR EXPRESS (777)'.
4. Click train item from dropdown list.
5. Confirm schedule, stoppage, and fare table renders accurately.</t>
  </si>
  <si>
    <t>Train: HAWR EXPRESS (778)</t>
  </si>
  <si>
    <t>System fetches and displays complete schedule and route information for HAWR EXPRESS (777).</t>
  </si>
  <si>
    <t>TC-173</t>
  </si>
  <si>
    <t>Train Schedule &amp; Route Lookup for HAWR EXPRESS (778)</t>
  </si>
  <si>
    <t>1. Navigate to /train-information page.
2. Click 'SELECT TRAIN' input field.
3. Type or select train 'HAWR EXPRESS (778)'.
4. Click train item from dropdown list.
5. Confirm schedule, stoppage, and fare table renders accurately.</t>
  </si>
  <si>
    <t>Train: RAJSHAHI COMMUTER (57)</t>
  </si>
  <si>
    <t>System fetches and displays complete schedule and route information for HAWR EXPRESS (778).</t>
  </si>
  <si>
    <t>TC-174</t>
  </si>
  <si>
    <t>Train Schedule &amp; Route Lookup for RAJSHAHI COMMUTER (57)</t>
  </si>
  <si>
    <t>1. Navigate to /train-information page.
2. Click 'SELECT TRAIN' input field.
3. Type or select train 'RAJSHAHI COMMUTER (57)'.
4. Click train item from dropdown list.
5. Confirm schedule, stoppage, and fare table renders accurately.</t>
  </si>
  <si>
    <t>Train: RAJSHAHI COMMUTER (58)</t>
  </si>
  <si>
    <t>System fetches and displays complete schedule and route information for RAJSHAHI COMMUTER (57).</t>
  </si>
  <si>
    <t>TC-175</t>
  </si>
  <si>
    <t>Train Schedule &amp; Route Lookup for RAJSHAHI COMMUTER (58)</t>
  </si>
  <si>
    <t>1. Navigate to /train-information page.
2. Click 'SELECT TRAIN' input field.
3. Type or select train 'RAJSHAHI COMMUTER (58)'.
4. Click train item from dropdown list.
5. Confirm schedule, stoppage, and fare table renders accurately.</t>
  </si>
  <si>
    <t>Train: RAJSHAHI COMMUTER (77)</t>
  </si>
  <si>
    <t>System fetches and displays complete schedule and route information for RAJSHAHI COMMUTER (58).</t>
  </si>
  <si>
    <t>TC-176</t>
  </si>
  <si>
    <t>Train Schedule &amp; Route Lookup for RAJSHAHI COMMUTER (77)</t>
  </si>
  <si>
    <t>1. Navigate to /train-information page.
2. Click 'SELECT TRAIN' input field.
3. Type or select train 'RAJSHAHI COMMUTER (77)'.
4. Click train item from dropdown list.
5. Confirm schedule, stoppage, and fare table renders accurately.</t>
  </si>
  <si>
    <t>Train: RAJSHAHI COMMUTER (78)</t>
  </si>
  <si>
    <t>System fetches and displays complete schedule and route information for RAJSHAHI COMMUTER (77).</t>
  </si>
  <si>
    <t>TC-177</t>
  </si>
  <si>
    <t>Train Schedule &amp; Route Lookup for RAJSHAHI COMMUTER (78)</t>
  </si>
  <si>
    <t>1. Navigate to /train-information page.
2. Click 'SELECT TRAIN' input field.
3. Type or select train 'RAJSHAHI COMMUTER (78)'.
4. Click train item from dropdown list.
5. Confirm schedule, stoppage, and fare table renders accurately.</t>
  </si>
  <si>
    <t>System fetches and displays complete schedule and route information for RAJSHAHI COMMUTER (78).</t>
  </si>
  <si>
    <t>TC-178</t>
  </si>
  <si>
    <t>Train Schedule &amp; Route Lookup for CHILAHATI EXPRESS (805)</t>
  </si>
  <si>
    <t>1. Navigate to /train-information page.
2. Click 'SELECT TRAIN' input field.
3. Type or select train 'CHILAHATI EXPRESS (805)'.
4. Click train item from dropdown list.
5. Confirm schedule, stoppage, and fare table renders accurately.</t>
  </si>
  <si>
    <t>Train: CHILAHATI EXPRESS (805)</t>
  </si>
  <si>
    <t>System fetches and displays complete schedule and route information for CHILAHATI EXPRESS (805).</t>
  </si>
  <si>
    <t>TC-179</t>
  </si>
  <si>
    <t>Train Schedule &amp; Route Lookup for CHILAHATI EXPRESS (806)</t>
  </si>
  <si>
    <t>1. Navigate to /train-information page.
2. Click 'SELECT TRAIN' input field.
3. Type or select train 'CHILAHATI EXPRESS (806)'.
4. Click train item from dropdown list.
5. Confirm schedule, stoppage, and fare table renders accurately.</t>
  </si>
  <si>
    <t>Train: CHILAHATI EXPRESS (806)</t>
  </si>
  <si>
    <t>System fetches and displays complete schedule and route information for CHILAHATI EXPRESS (806).</t>
  </si>
  <si>
    <t>TC-180</t>
  </si>
  <si>
    <t>Train Schedule &amp; Route Lookup for NARAYANGANJ COMMUTER 1 (1001)</t>
  </si>
  <si>
    <t>1. Navigate to /train-information page.
2. Click 'SELECT TRAIN' input field.
3. Type or select train 'NARAYANGANJ COMMUTER 1 (1001)'.
4. Click train item from dropdown list.
5. Confirm schedule, stoppage, and fare table renders accurately.</t>
  </si>
  <si>
    <t>Train: NARAYANGANJ COMMUTER 1 (1001)</t>
  </si>
  <si>
    <t>System fetches and displays complete schedule and route information for NARAYANGANJ COMMUTER 1 (1001).</t>
  </si>
  <si>
    <t>TC-181</t>
  </si>
  <si>
    <t>Train Schedule &amp; Route Lookup for NARAYANGANJ COMMUTER 2 (1002)</t>
  </si>
  <si>
    <t>1. Navigate to /train-information page.
2. Click 'SELECT TRAIN' input field.
3. Type or select train 'NARAYANGANJ COMMUTER 2 (1002)'.
4. Click train item from dropdown list.
5. Confirm schedule, stoppage, and fare table renders accurately.</t>
  </si>
  <si>
    <t>Train: NARAYANGANJ COMMUTER 2 (1002)</t>
  </si>
  <si>
    <t>System fetches and displays complete schedule and route information for NARAYANGANJ COMMUTER 2 (1002).</t>
  </si>
  <si>
    <t>TC-182</t>
  </si>
  <si>
    <t>Train Schedule &amp; Route Lookup for NARAYANGANJ COMMUTER 3 (1003)</t>
  </si>
  <si>
    <t>1. Navigate to /train-information page.
2. Click 'SELECT TRAIN' input field.
3. Type or select train 'NARAYANGANJ COMMUTER 3 (1003)'.
4. Click train item from dropdown list.
5. Confirm schedule, stoppage, and fare table renders accurately.</t>
  </si>
  <si>
    <t>Train: NARAYANGANJ COMMUTER 3 (1003)</t>
  </si>
  <si>
    <t>System fetches and displays complete schedule and route information for NARAYANGANJ COMMUTER 3 (1003).</t>
  </si>
  <si>
    <t>TC-183</t>
  </si>
  <si>
    <t>Train Schedule &amp; Route Lookup for NARAYANGANJ COMMUTER 4 (1004)</t>
  </si>
  <si>
    <t>1. Navigate to /train-information page.
2. Click 'SELECT TRAIN' input field.
3. Type or select train 'NARAYANGANJ COMMUTER 4 (1004)'.
4. Click train item from dropdown list.
5. Confirm schedule, stoppage, and fare table renders accurately.</t>
  </si>
  <si>
    <t>Train: NARAYANGANJ COMMUTER 4 (1004)</t>
  </si>
  <si>
    <t>System fetches and displays complete schedule and route information for NARAYANGANJ COMMUTER 4 (1004).</t>
  </si>
  <si>
    <t>TC-184</t>
  </si>
  <si>
    <t>Train Schedule &amp; Route Lookup for NARAYANGANJ COMMUTER 5 (1005)</t>
  </si>
  <si>
    <t>1. Navigate to /train-information page.
2. Click 'SELECT TRAIN' input field.
3. Type or select train 'NARAYANGANJ COMMUTER 5 (1005)'.
4. Click train item from dropdown list.
5. Confirm schedule, stoppage, and fare table renders accurately.</t>
  </si>
  <si>
    <t>Train: NARAYANGANJ COMMUTER 5 (1005)</t>
  </si>
  <si>
    <t>System fetches and displays complete schedule and route information for NARAYANGANJ COMMUTER 5 (1005).</t>
  </si>
  <si>
    <t>TC-185</t>
  </si>
  <si>
    <t>Train Schedule &amp; Route Lookup for NARAYANGANJ COMMUTER 6 (1006)</t>
  </si>
  <si>
    <t>1. Navigate to /train-information page.
2. Click 'SELECT TRAIN' input field.
3. Type or select train 'NARAYANGANJ COMMUTER 6 (1006)'.
4. Click train item from dropdown list.
5. Confirm schedule, stoppage, and fare table renders accurately.</t>
  </si>
  <si>
    <t>Train: NARAYANGANJ COMMUTER 6 (1006)</t>
  </si>
  <si>
    <t>System fetches and displays complete schedule and route information for NARAYANGANJ COMMUTER 6 (1006).</t>
  </si>
  <si>
    <t>TC-186</t>
  </si>
  <si>
    <t>Train Schedule &amp; Route Lookup for NARAYANGANJ COMMUTER 7 (1007)</t>
  </si>
  <si>
    <t>1. Navigate to /train-information page.
2. Click 'SELECT TRAIN' input field.
3. Type or select train 'NARAYANGANJ COMMUTER 7 (1007)'.
4. Click train item from dropdown list.
5. Confirm schedule, stoppage, and fare table renders accurately.</t>
  </si>
  <si>
    <t>Train: NARAYANGANJ COMMUTER 7 (1007)</t>
  </si>
  <si>
    <t>System fetches and displays complete schedule and route information for NARAYANGANJ COMMUTER 7 (1007).</t>
  </si>
  <si>
    <t>TC-187</t>
  </si>
  <si>
    <t>Train Schedule &amp; Route Lookup for NARAYANGANJ COMMUTER 8 (1008)</t>
  </si>
  <si>
    <t>1. Navigate to /train-information page.
2. Click 'SELECT TRAIN' input field.
3. Type or select train 'NARAYANGANJ COMMUTER 8 (1008)'.
4. Click train item from dropdown list.
5. Confirm schedule, stoppage, and fare table renders accurately.</t>
  </si>
  <si>
    <t>Train: NARAYANGANJ COMMUTER 8 (1008)</t>
  </si>
  <si>
    <t>System fetches and displays complete schedule and route information for NARAYANGANJ COMMUTER 8 (1008).</t>
  </si>
  <si>
    <t>TC-188</t>
  </si>
  <si>
    <t>Train Schedule &amp; Route Lookup for NARAYANGANJ COMMUTER 9 (1009)</t>
  </si>
  <si>
    <t>1. Navigate to /train-information page.
2. Click 'SELECT TRAIN' input field.
3. Type or select train 'NARAYANGANJ COMMUTER 9 (1009)'.
4. Click train item from dropdown list.
5. Confirm schedule, stoppage, and fare table renders accurately.</t>
  </si>
  <si>
    <t>Train: NARAYANGANJ COMMUTER 9 (1009)</t>
  </si>
  <si>
    <t>System fetches and displays complete schedule and route information for NARAYANGANJ COMMUTER 9 (1009).</t>
  </si>
  <si>
    <t>TC-189</t>
  </si>
  <si>
    <t>Train Schedule &amp; Route Lookup for NARAYANGANJ COMMUTER 10 (1010)</t>
  </si>
  <si>
    <t>1. Navigate to /train-information page.
2. Click 'SELECT TRAIN' input field.
3. Type or select train 'NARAYANGANJ COMMUTER 10 (1010)'.
4. Click train item from dropdown list.
5. Confirm schedule, stoppage, and fare table renders accurately.</t>
  </si>
  <si>
    <t>Train: NARAYANGANJ COMMUTER 10 (1010)</t>
  </si>
  <si>
    <t>System fetches and displays complete schedule and route information for NARAYANGANJ COMMUTER 10 (1010).</t>
  </si>
  <si>
    <t>TC-190</t>
  </si>
  <si>
    <t>Train Schedule &amp; Route Lookup for NARAYANGANJ COMMUTER 11 (1011)</t>
  </si>
  <si>
    <t>1. Navigate to /train-information page.
2. Click 'SELECT TRAIN' input field.
3. Type or select train 'NARAYANGANJ COMMUTER 11 (1011)'.
4. Click train item from dropdown list.
5. Confirm schedule, stoppage, and fare table renders accurately.</t>
  </si>
  <si>
    <t>Train: NARAYANGANJ COMMUTER 11 (1011)</t>
  </si>
  <si>
    <t>System fetches and displays complete schedule and route information for NARAYANGANJ COMMUTER 11 (1011).</t>
  </si>
  <si>
    <t>TC-191</t>
  </si>
  <si>
    <t>Train Schedule &amp; Route Lookup for NARAYANGANJ COMMUTER 12 (1012)</t>
  </si>
  <si>
    <t>1. Navigate to /train-information page.
2. Click 'SELECT TRAIN' input field.
3. Type or select train 'NARAYANGANJ COMMUTER 12 (1012)'.
4. Click train item from dropdown list.
5. Confirm schedule, stoppage, and fare table renders accurately.</t>
  </si>
  <si>
    <t>Train: NARAYANGANJ COMMUTER 12 (1012)</t>
  </si>
  <si>
    <t>System fetches and displays complete schedule and route information for NARAYANGANJ COMMUTER 12 (1012).</t>
  </si>
  <si>
    <t>TC-192</t>
  </si>
  <si>
    <t>Train Schedule &amp; Route Lookup for NARAYANGANJ COMMUTER 13 (1013)</t>
  </si>
  <si>
    <t>1. Navigate to /train-information page.
2. Click 'SELECT TRAIN' input field.
3. Type or select train 'NARAYANGANJ COMMUTER 13 (1013)'.
4. Click train item from dropdown list.
5. Confirm schedule, stoppage, and fare table renders accurately.</t>
  </si>
  <si>
    <t>Train: NARAYANGANJ COMMUTER 13 (1013)</t>
  </si>
  <si>
    <t>System fetches and displays complete schedule and route information for NARAYANGANJ COMMUTER 13 (1013).</t>
  </si>
  <si>
    <t>TC-193</t>
  </si>
  <si>
    <t>Train Schedule &amp; Route Lookup for NARAYANGANJ COMMUTER 14 (1014)</t>
  </si>
  <si>
    <t>1. Navigate to /train-information page.
2. Click 'SELECT TRAIN' input field.
3. Type or select train 'NARAYANGANJ COMMUTER 14 (1014)'.
4. Click train item from dropdown list.
5. Confirm schedule, stoppage, and fare table renders accurately.</t>
  </si>
  <si>
    <t>Train: NARAYANGANJ COMMUTER 14 (1014)</t>
  </si>
  <si>
    <t>System fetches and displays complete schedule and route information for NARAYANGANJ COMMUTER 14 (1014).</t>
  </si>
  <si>
    <t>TC-194</t>
  </si>
  <si>
    <t>Train Schedule &amp; Route Lookup for NARAYANGANJ COMMUTER 15 (1015)</t>
  </si>
  <si>
    <t>1. Navigate to /train-information page.
2. Click 'SELECT TRAIN' input field.
3. Type or select train 'NARAYANGANJ COMMUTER 15 (1015)'.
4. Click train item from dropdown list.
5. Confirm schedule, stoppage, and fare table renders accurately.</t>
  </si>
  <si>
    <t>Train: NARAYANGANJ COMMUTER 15 (1015)</t>
  </si>
  <si>
    <t>System fetches and displays complete schedule and route information for NARAYANGANJ COMMUTER 15 (1015).</t>
  </si>
  <si>
    <t>TC-195</t>
  </si>
  <si>
    <t>Train Schedule &amp; Route Lookup for NARAYANGANJ COMMUTER 16 (1016)</t>
  </si>
  <si>
    <t>1. Navigate to /train-information page.
2. Click 'SELECT TRAIN' input field.
3. Type or select train 'NARAYANGANJ COMMUTER 16 (1016)'.
4. Click train item from dropdown list.
5. Confirm schedule, stoppage, and fare table renders accurately.</t>
  </si>
  <si>
    <t>Train: NARAYANGANJ COMMUTER 16 (1016)</t>
  </si>
  <si>
    <t>System fetches and displays complete schedule and route information for NARAYANGANJ COMMUTER 16 (1016).</t>
  </si>
  <si>
    <t>TC-196</t>
  </si>
  <si>
    <t>Train Schedule &amp; Route Lookup for LALMONI COMMUTER (61)</t>
  </si>
  <si>
    <t>1. Navigate to /train-information page.
2. Click 'SELECT TRAIN' input field.
3. Type or select train 'LALMONI COMMUTER (61)'.
4. Click train item from dropdown list.
5. Confirm schedule, stoppage, and fare table renders accurately.</t>
  </si>
  <si>
    <t>Train: LALMONI COMMUTER (61)</t>
  </si>
  <si>
    <t>System fetches and displays complete schedule and route information for LALMONI COMMUTER (61).</t>
  </si>
  <si>
    <t>TC-197</t>
  </si>
  <si>
    <t>Train Schedule &amp; Route Lookup for LALMONI COMMUTER (62)</t>
  </si>
  <si>
    <t>1. Navigate to /train-information page.
2. Click 'SELECT TRAIN' input field.
3. Type or select train 'LALMONI COMMUTER (62)'.
4. Click train item from dropdown list.
5. Confirm schedule, stoppage, and fare table renders accurately.</t>
  </si>
  <si>
    <t>Train: LALMONI COMMUTER (62)</t>
  </si>
  <si>
    <t>System fetches and displays complete schedule and route information for LALMONI COMMUTER (62).</t>
  </si>
  <si>
    <t>TC-198</t>
  </si>
  <si>
    <t>Train Schedule &amp; Route Lookup for BURIMARI COMMUTER (65)</t>
  </si>
  <si>
    <t>1. Navigate to /train-information page.
2. Click 'SELECT TRAIN' input field.
3. Type or select train 'BURIMARI COMMUTER (65)'.
4. Click train item from dropdown list.
5. Confirm schedule, stoppage, and fare table renders accurately.</t>
  </si>
  <si>
    <t>Train: BURIMARI COMMUTER (65)</t>
  </si>
  <si>
    <t>System fetches and displays complete schedule and route information for BURIMARI COMMUTER (65).</t>
  </si>
  <si>
    <t>TC-199</t>
  </si>
  <si>
    <t>Train Schedule &amp; Route Lookup for BURIMARI COMMUTER (66)</t>
  </si>
  <si>
    <t>1. Navigate to /train-information page.
2. Click 'SELECT TRAIN' input field.
3. Type or select train 'BURIMARI COMMUTER (66)'.
4. Click train item from dropdown list.
5. Confirm schedule, stoppage, and fare table renders accurately.</t>
  </si>
  <si>
    <t>Train: BURIMARI COMMUTER (66)</t>
  </si>
  <si>
    <t>System fetches and displays complete schedule and route information for BURIMARI COMMUTER (66).</t>
  </si>
  <si>
    <t>TC-200</t>
  </si>
  <si>
    <t>Train Schedule &amp; Route Lookup for COXS BAZAR EXPRESS (813)</t>
  </si>
  <si>
    <t>1. Navigate to /train-information page.
2. Click 'SELECT TRAIN' input field.
3. Type or select train 'COXS BAZAR EXPRESS (813)'.
4. Click train item from dropdown list.
5. Confirm schedule, stoppage, and fare table renders accurately.</t>
  </si>
  <si>
    <t>Train: COXS BAZAR EXPRESS (813)</t>
  </si>
  <si>
    <t>System fetches and displays complete schedule and route information for COXS BAZAR EXPRESS (813).</t>
  </si>
  <si>
    <t>TC-201</t>
  </si>
  <si>
    <t>Train Schedule &amp; Route Lookup for COXS BAZAR EXPRESS (814)</t>
  </si>
  <si>
    <t>1. Navigate to /train-information page.
2. Click 'SELECT TRAIN' input field.
3. Type or select train 'COXS BAZAR EXPRESS (814)'.
4. Click train item from dropdown list.
5. Confirm schedule, stoppage, and fare table renders accurately.</t>
  </si>
  <si>
    <t>Train: COXS BAZAR EXPRESS (814)</t>
  </si>
  <si>
    <t>System fetches and displays complete schedule and route information for COXS BAZAR EXPRESS (814).</t>
  </si>
  <si>
    <t>TC-202</t>
  </si>
  <si>
    <t>Train Schedule &amp; Route Lookup for BURIMARI EXPRESS (809)</t>
  </si>
  <si>
    <t>1. Navigate to /train-information page.
2. Click 'SELECT TRAIN' input field.
3. Type or select train 'BURIMARI EXPRESS (809)'.
4. Click train item from dropdown list.
5. Confirm schedule, stoppage, and fare table renders accurately.</t>
  </si>
  <si>
    <t>Train: BURIMARI EXPRESS (809)</t>
  </si>
  <si>
    <t>System fetches and displays complete schedule and route information for BURIMARI EXPRESS (809).</t>
  </si>
  <si>
    <t>TC-203</t>
  </si>
  <si>
    <t>Train Schedule &amp; Route Lookup for BURIMARI EXPRESS (810)</t>
  </si>
  <si>
    <t>1. Navigate to /train-information page.
2. Click 'SELECT TRAIN' input field.
3. Type or select train 'BURIMARI EXPRESS (810)'.
4. Click train item from dropdown list.
5. Confirm schedule, stoppage, and fare table renders accurately.</t>
  </si>
  <si>
    <t>Train: BURIMARI EXPRESS (810)</t>
  </si>
  <si>
    <t>System fetches and displays complete schedule and route information for BURIMARI EXPRESS (810).</t>
  </si>
  <si>
    <t>TC-204</t>
  </si>
  <si>
    <t>Train Schedule &amp; Route Lookup for PARJOTAK EXPRESS (815)</t>
  </si>
  <si>
    <t>1. Navigate to /train-information page.
2. Click 'SELECT TRAIN' input field.
3. Type or select train 'PARJOTAK EXPRESS (815)'.
4. Click train item from dropdown list.
5. Confirm schedule, stoppage, and fare table renders accurately.</t>
  </si>
  <si>
    <t>Train: PARJOTAK EXPRESS (815)</t>
  </si>
  <si>
    <t>System fetches and displays complete schedule and route information for PARJOTAK EXPRESS (815).</t>
  </si>
  <si>
    <t>TC-205</t>
  </si>
  <si>
    <t>Train Schedule &amp; Route Lookup for PARJOTAK EXPRESS (816)</t>
  </si>
  <si>
    <t>1. Navigate to /train-information page.
2. Click 'SELECT TRAIN' input field.
3. Type or select train 'PARJOTAK EXPRESS (816)'.
4. Click train item from dropdown list.
5. Confirm schedule, stoppage, and fare table renders accurately.</t>
  </si>
  <si>
    <t>Train: PARJOTAK EXPRESS (816)</t>
  </si>
  <si>
    <t>System fetches and displays complete schedule and route information for PARJOTAK EXPRESS (816).</t>
  </si>
  <si>
    <t>TC-206</t>
  </si>
  <si>
    <t>Train Schedule &amp; Route Lookup for BARENDRA EXPRESS (732)</t>
  </si>
  <si>
    <t>1. Navigate to /train-information page.
2. Click 'SELECT TRAIN' input field.
3. Type or select train 'BARENDRA EXPRESS (732)'.
4. Click train item from dropdown list.
5. Confirm schedule, stoppage, and fare table renders accurately.</t>
  </si>
  <si>
    <t>Train: BARENDRA EXPRESS (732)</t>
  </si>
  <si>
    <t>System fetches and displays complete schedule and route information for BARENDRA EXPRESS (732).</t>
  </si>
  <si>
    <t>TC-207</t>
  </si>
  <si>
    <t>Train Schedule &amp; Route Lookup for KANCHON INTERCITY COMMUTER (41)</t>
  </si>
  <si>
    <t>1. Navigate to /train-information page.
2. Click 'SELECT TRAIN' input field.
3. Type or select train 'KANCHON INTERCITY COMMUTER (41)'.
4. Click train item from dropdown list.
5. Confirm schedule, stoppage, and fare table renders accurately.</t>
  </si>
  <si>
    <t>Train: KANCHON INTERCITY COMMUTER (41)</t>
  </si>
  <si>
    <t>System fetches and displays complete schedule and route information for KANCHON INTERCITY COMMUTER (41).</t>
  </si>
  <si>
    <t>TC-208</t>
  </si>
  <si>
    <t>Train Schedule &amp; Route Lookup for KANCHON INTERCITY COMMUTER (42)</t>
  </si>
  <si>
    <t>1. Navigate to /train-information page.
2. Click 'SELECT TRAIN' input field.
3. Type or select train 'KANCHON INTERCITY COMMUTER (42)'.
4. Click train item from dropdown list.
5. Confirm schedule, stoppage, and fare table renders accurately.</t>
  </si>
  <si>
    <t>Train: KANCHON INTERCITY COMMUTER (42)</t>
  </si>
  <si>
    <t>System fetches and displays complete schedule and route information for KANCHON INTERCITY COMMUTER (42).</t>
  </si>
  <si>
    <t>TC-209</t>
  </si>
  <si>
    <t>Train Schedule &amp; Route Lookup for JAHANABAD EXPRESS (825)</t>
  </si>
  <si>
    <t>1. Navigate to /train-information page.
2. Click 'SELECT TRAIN' input field.
3. Type or select train 'JAHANABAD EXPRESS (825)'.
4. Click train item from dropdown list.
5. Confirm schedule, stoppage, and fare table renders accurately.</t>
  </si>
  <si>
    <t>Train: JAHANABAD EXPRESS (825)</t>
  </si>
  <si>
    <t>System fetches and displays complete schedule and route information for JAHANABAD EXPRESS (825).</t>
  </si>
  <si>
    <t>TC-210</t>
  </si>
  <si>
    <t>Train Schedule &amp; Route Lookup for JAHANABAD EXPRESS (826)</t>
  </si>
  <si>
    <t>1. Navigate to /train-information page.
2. Click 'SELECT TRAIN' input field.
3. Type or select train 'JAHANABAD EXPRESS (826)'.
4. Click train item from dropdown list.
5. Confirm schedule, stoppage, and fare table renders accurately.</t>
  </si>
  <si>
    <t>Train: JAHANABAD EXPRESS (826))</t>
  </si>
  <si>
    <t>System fetches and displays complete schedule and route information for JAHANABAD EXPRESS (826).</t>
  </si>
  <si>
    <t>TC-211</t>
  </si>
  <si>
    <t>Train Schedule &amp; Route Lookup for RUPOSHI BANGLA EXPRESS (827)</t>
  </si>
  <si>
    <t>1. Navigate to /train-information page.
2. Click 'SELECT TRAIN' input field.
3. Type or select train 'RUPOSHI BANGLA EXPRESS (827)'.
4. Click train item from dropdown list.
5. Confirm schedule, stoppage, and fare table renders accurately.</t>
  </si>
  <si>
    <t>Train: RUPOSHI BANGLA EXPRESS (827)</t>
  </si>
  <si>
    <t>System fetches and displays complete schedule and route information for RUPOSHI BANGLA EXPRESS (827).</t>
  </si>
  <si>
    <t>TC-212</t>
  </si>
  <si>
    <t>Train Schedule &amp; Route Lookup for RUPOSHI BANGLA EXPRESS (828)</t>
  </si>
  <si>
    <t>1. Navigate to /train-information page.
2. Click 'SELECT TRAIN' input field.
3. Type or select train 'RUPOSHI BANGLA EXPRESS (828)'.
4. Click train item from dropdown list.
5. Confirm schedule, stoppage, and fare table renders accurately.</t>
  </si>
  <si>
    <t>Train: RUPOSHI BANGLA EXPRESS (828)</t>
  </si>
  <si>
    <t>System fetches and displays complete schedule and route information for RUPOSHI BANGLA EXPRESS (828).</t>
  </si>
  <si>
    <t>TC-213</t>
  </si>
  <si>
    <t>Train Schedule &amp; Route Lookup for SHAIKAT EXPRESS (821)</t>
  </si>
  <si>
    <t>1. Navigate to /train-information page.
2. Click 'SELECT TRAIN' input field.
3. Type or select train 'SHAIKAT EXPRESS (821)'.
4. Click train item from dropdown list.
5. Confirm schedule, stoppage, and fare table renders accurately.</t>
  </si>
  <si>
    <t>Train: SHAIKAT EXPRESS (821)</t>
  </si>
  <si>
    <t>System fetches and displays complete schedule and route information for SHAIKAT EXPRESS (821).</t>
  </si>
  <si>
    <t>TC-214</t>
  </si>
  <si>
    <t>Train Schedule &amp; Route Lookup for SHAIKAT EXPRESS (824)</t>
  </si>
  <si>
    <t>1. Navigate to /train-information page.
2. Click 'SELECT TRAIN' input field.
3. Type or select train 'SHAIKAT EXPRESS (824)'.
4. Click train item from dropdown list.
5. Confirm schedule, stoppage, and fare table renders accurately.</t>
  </si>
  <si>
    <t>Train: SHAIKAT EXPRESS (824)</t>
  </si>
  <si>
    <t>System fetches and displays complete schedule and route information for SHAIKAT EXPRESS (824).</t>
  </si>
  <si>
    <t>TC-215</t>
  </si>
  <si>
    <t>Train Schedule &amp; Route Lookup for PROBAL EXPRESS (822)</t>
  </si>
  <si>
    <t>1. Navigate to /train-information page.
2. Click 'SELECT TRAIN' input field.
3. Type or select train 'PROBAL EXPRESS (822)'.
4. Click train item from dropdown list.
5. Confirm schedule, stoppage, and fare table renders accurately.</t>
  </si>
  <si>
    <t>Train: PROBAL EXPRESS (822)</t>
  </si>
  <si>
    <t>System fetches and displays complete schedule and route information for PROBAL EXPRESS (822).</t>
  </si>
  <si>
    <t>TC-216</t>
  </si>
  <si>
    <t>Train Schedule &amp; Route Lookup for PROBAL EXPRESS (823)</t>
  </si>
  <si>
    <t>1. Navigate to /train-information page.
2. Click 'SELECT TRAIN' input field.
3. Type or select train 'PROBAL EXPRESS (823)'.
4. Click train item from dropdown list.
5. Confirm schedule, stoppage, and fare table renders accurately.</t>
  </si>
  <si>
    <t>Train: PROBAL EXPRESS (823)</t>
  </si>
  <si>
    <t>System fetches and displays complete schedule and route information for PROBAL EXPRESS (823).</t>
  </si>
  <si>
    <t>TC-217</t>
  </si>
  <si>
    <t>Train Schedule &amp; Route Lookup for CHAPAINAWABGANJ SHUTTLE (110)</t>
  </si>
  <si>
    <t>1. Navigate to /train-information page.
2. Click 'SELECT TRAIN' input field.
3. Type or select train 'CHAPAINAWABGANJ SHUTTLE (110)'.
4. Click train item from dropdown list.
5. Confirm schedule, stoppage, and fare table renders accurately.</t>
  </si>
  <si>
    <t>Train: CHAPAINAWABGANJ SHUTTLE (110)</t>
  </si>
  <si>
    <t>System fetches and displays complete schedule and route information for CHAPAINAWABGANJ SHUTTLE (110).</t>
  </si>
  <si>
    <t>TC-218</t>
  </si>
  <si>
    <t>Train Schedule &amp; Route Lookup for OVIJATRI COMMUTER (135)</t>
  </si>
  <si>
    <t>1. Navigate to /train-information page.
2. Click 'SELECT TRAIN' input field.
3. Type or select train 'OVIJATRI COMMUTER (135)'.
4. Click train item from dropdown list.
5. Confirm schedule, stoppage, and fare table renders accurately.</t>
  </si>
  <si>
    <t>Train: OVIJATRI COMMUTER (135)</t>
  </si>
  <si>
    <t>System fetches and displays complete schedule and route information for OVIJATRI COMMUTER (135).</t>
  </si>
  <si>
    <t>TC-219</t>
  </si>
  <si>
    <t>Train Schedule &amp; Route Lookup for OVIJATRI COMMUTER (136)</t>
  </si>
  <si>
    <t>1. Navigate to /train-information page.
2. Click 'SELECT TRAIN' input field.
3. Type or select train 'OVIJATRI COMMUTER (136)'.
4. Click train item from dropdown list.
5. Confirm schedule, stoppage, and fare table renders accurately.</t>
  </si>
  <si>
    <t>Train: OVIJATRI COMMUTER (136)</t>
  </si>
  <si>
    <t>System fetches and displays complete schedule and route information for OVIJATRI COMMUTER (136).</t>
  </si>
  <si>
    <t>TC-220</t>
  </si>
  <si>
    <t>UI &amp; Navigation</t>
  </si>
  <si>
    <t>UI / Navigation Testing</t>
  </si>
  <si>
    <t>Verify 'Contact Us' Active Tab Indicator and
 Header Links</t>
  </si>
  <si>
    <t>1. Launch desktop browser.
2. Navigate to https://eticket.railway.gov.bd/contact-us.
3. Observe top navigation bar.
4. Check active tab styling under 'Contact Us'.
5. Verify presence of 'Home', 'Login', 'Register', and 'Train Information' links.</t>
  </si>
  <si>
    <t>URL: https://eticket.railway.gov.bd/contact-us</t>
  </si>
  <si>
    <t>Contact Us' tab is visually highlighted as active 
with an underline/color indicator.</t>
  </si>
  <si>
    <t>TC-221</t>
  </si>
  <si>
    <t>Refund Support Section</t>
  </si>
  <si>
    <t>UI / Content Verification</t>
  </si>
  <si>
    <t>Verify Table Heading and Layout for 
Refund/Charging Support</t>
  </si>
  <si>
    <t>1. Navigate to 'Contact Us' page.
2. Locate top section card.
3. Verify sub-heading text: 'For refund of unsuccessful purchases and card charging issues'.
4. Check table arrangement displaying payment gateways and helpline numbers.</t>
  </si>
  <si>
    <t>Sub-heading: 'For refund of unsuccessful purchases and card charging issues'</t>
  </si>
  <si>
    <t>Sub-heading and helpline table display with proper 
formatting and alignment.</t>
  </si>
  <si>
    <t>TC-222</t>
  </si>
  <si>
    <t>Content Verification</t>
  </si>
  <si>
    <t>Verify bKash Helpline Number Display and Tel-link</t>
  </si>
  <si>
    <t>1. Locate 'bKash' row in payment support table.
2. Verify displayed shortcode '16247'.
3. Click or inspect element on mobile view to check `tel:16247` protocol.</t>
  </si>
  <si>
    <t>Gateway: bKash | Number: 16247</t>
  </si>
  <si>
    <t>bKash helpline number displayed correctly
 as '16247'.</t>
  </si>
  <si>
    <t>TC-223</t>
  </si>
  <si>
    <t>Verify Nagad Helpline Number Display</t>
  </si>
  <si>
    <t>1. Locate 'Nagad' row in support table.
2. Verify displayed shortcode '16167'.
3. Confirm text styling and readability.</t>
  </si>
  <si>
    <t>Gateway: Nagad | Number: 16167</t>
  </si>
  <si>
    <t>Nagad helpline number displayed correctly 
as '16167'.</t>
  </si>
  <si>
    <t>TC-224</t>
  </si>
  <si>
    <t>Verify Rocket / DBBL Nexus Helpline Number
 Display</t>
  </si>
  <si>
    <t>1. Locate 'Rocket / DBBL Nexus' row in support table.
2. Verify displayed shortcode '16216'.
3. Check label formatting.</t>
  </si>
  <si>
    <t>Gateway: Rocket / DBBL Nexus | Number: 16216</t>
  </si>
  <si>
    <t>Rocket / DBBL Nexus helpline number displayed
 correctly as '16216'.</t>
  </si>
  <si>
    <t>TC-225</t>
  </si>
  <si>
    <t>Verify Upay Helpline Number Display</t>
  </si>
  <si>
    <t>1. Locate 'Upay' row in support table.
2. Verify displayed shortcode '16268'.
3. Check label formatting.</t>
  </si>
  <si>
    <t>Gateway: Upay | Number: 16268</t>
  </si>
  <si>
    <t>Upay helpline number displayed correctly 
as '16268'.</t>
  </si>
  <si>
    <t>28/08/2026</t>
  </si>
  <si>
    <t>MD Rubel Hossain</t>
  </si>
  <si>
    <t>Multi-Module
 (Comprehensive)</t>
  </si>
  <si>
    <t>Chrome , Edge, Firefox, Brave , Operamini</t>
  </si>
  <si>
    <t>Md Rubel Hossain</t>
  </si>
  <si>
    <t>Login  Module</t>
  </si>
  <si>
    <t>Bug Reporting</t>
  </si>
  <si>
    <t>Reproducing Steps:</t>
  </si>
  <si>
    <t># SL 01   |   Bug ID: BUG_01   (Related TC: TC-070)</t>
  </si>
  <si>
    <t>Issue: Form submits successfully and redirects to next page when all required fields are left blank.</t>
  </si>
  <si>
    <t>1. Open Registration page (https://eticket.railway.gov.bd/register).
2. Leave Full Name, Mobile Number, and NID fields blank.
3. Leave Captcha unchecked.
4. Click 'Verify' button.</t>
  </si>
  <si>
    <t>Env: Production (https://eticket.railway.gov.bd)</t>
  </si>
  <si>
    <t>Module: Registration - Submit Button</t>
  </si>
  <si>
    <t>Priority: High   (Options: High | Medium | Low)</t>
  </si>
  <si>
    <t>Severity: Critical   (Options: Blocker | Critical | Major | Minor)</t>
  </si>
  <si>
    <t>Status: Open   |   Assigned To: Dev Team Lead</t>
  </si>
  <si>
    <t>Screenshot / Actual Result: Form accepts blank input data, bypasses captcha validation, and redirects to the next page.</t>
  </si>
  <si>
    <t>Expected: System displays validation errors for all required fields and prevents form submission.</t>
  </si>
  <si>
    <t>Reported Date: 26/08/2026</t>
  </si>
  <si>
    <t>Responsible QA: TANZIM RAHMAN</t>
  </si>
  <si>
    <t>Train information  Module</t>
  </si>
  <si>
    <t>Contact &amp; Support  Module</t>
  </si>
  <si>
    <t>(224/225)*100 = 99.56</t>
  </si>
  <si>
    <t>(1/225)*100 = 1.33</t>
  </si>
  <si>
    <t>Train: DHUMKETU EXPRESS (770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</si>
</sst>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9"/>
      <color rgb="FFFFFFFF"/>
      <name val="Calibri"/>
    </font>
    <font>
      <b/>
      <sz val="9"/>
      <name val="Calibri"/>
    </font>
    <font>
      <b/>
      <sz val="10"/>
      <color rgb="FFFFFFFF"/>
      <name val="Calibri"/>
    </font>
    <font>
      <sz val="10"/>
      <name val="Calibri"/>
    </font>
    <font>
      <b/>
      <sz val="10"/>
      <name val="Calibri"/>
    </font>
    <font>
      <b/>
      <sz val="14"/>
      <color rgb="FFFFFFFF"/>
      <name val="Calibri"/>
      <family val="2"/>
    </font>
    <font>
      <b/>
      <sz val="16"/>
      <color rgb="FFFFFFFF"/>
      <name val="Calibri"/>
      <family val="2"/>
    </font>
    <font>
      <b/>
      <sz val="11"/>
      <color rgb="FFFFFFFF"/>
      <name val="Calibri"/>
      <family val="2"/>
    </font>
    <font>
      <sz val="12"/>
      <name val="Calibri"/>
      <family val="2"/>
    </font>
    <font>
      <b/>
      <sz val="12"/>
      <name val="Calibri"/>
      <family val="2"/>
    </font>
    <font>
      <sz val="12"/>
      <color theme="1"/>
      <name val="Calibri"/>
      <family val="2"/>
      <scheme val="minor"/>
    </font>
    <font>
      <sz val="10"/>
      <name val="Calibri"/>
      <family val="2"/>
    </font>
    <font>
      <sz val="14"/>
      <name val="Calibri"/>
      <family val="2"/>
    </font>
    <font>
      <u/>
      <sz val="11"/>
      <color theme="10"/>
      <name val="Calibri"/>
      <family val="2"/>
      <scheme val="minor"/>
    </font>
    <font>
      <b/>
      <sz val="9"/>
      <color theme="1"/>
      <name val="Calibri"/>
      <family val="2"/>
    </font>
    <font>
      <b/>
      <sz val="18"/>
      <color rgb="FF92D050"/>
      <name val="Calibri"/>
    </font>
    <font>
      <b/>
      <sz val="11"/>
      <color rgb="FF000000"/>
      <name val="Calibri"/>
    </font>
    <font>
      <b/>
      <sz val="10"/>
      <color rgb="FF000000"/>
      <name val="Calibri"/>
    </font>
    <font>
      <sz val="10"/>
      <color rgb="FF000000"/>
      <name val="Calibri"/>
    </font>
    <font>
      <b/>
      <sz val="14"/>
      <color rgb="FF002060"/>
      <name val="Calibri"/>
    </font>
    <font>
      <b/>
      <sz val="11"/>
      <color rgb="FFFFFFFF"/>
      <name val="Calibri"/>
    </font>
    <font>
      <u/>
      <sz val="10"/>
      <color rgb="FF0000FF"/>
      <name val="Calibri"/>
    </font>
    <font>
      <b/>
      <sz val="10"/>
      <color rgb="FFFFFFFF"/>
      <name val="Calibri"/>
    </font>
    <font>
      <b/>
      <sz val="22"/>
      <color theme="8" tint="-0.249977111117893"/>
      <name val="Calibri"/>
      <family val="2"/>
    </font>
    <font>
      <b/>
      <sz val="18"/>
      <color theme="8" tint="-0.499984740745262"/>
      <name val="Calibri"/>
      <family val="2"/>
    </font>
    <font>
      <sz val="10"/>
      <color rgb="FF000000"/>
      <name val="Calibri"/>
      <family val="2"/>
    </font>
    <font>
      <b/>
      <sz val="11"/>
      <color theme="1"/>
      <name val="Calibri"/>
      <family val="2"/>
    </font>
    <font>
      <b/>
      <sz val="11"/>
      <color theme="1"/>
      <name val="Calibri"/>
      <family val="2"/>
      <scheme val="minor"/>
    </font>
    <font>
      <sz val="10"/>
      <color rgb="FF000000"/>
      <name val="Calibri"/>
      <scheme val="minor"/>
    </font>
    <font>
      <b/>
      <sz val="20"/>
      <color theme="1"/>
      <name val="Calibri"/>
      <family val="2"/>
      <scheme val="minor"/>
    </font>
    <font>
      <b/>
      <sz val="12"/>
      <color theme="1"/>
      <name val="Calibri"/>
      <family val="2"/>
      <scheme val="minor"/>
    </font>
    <font>
      <b/>
      <sz val="10"/>
      <color rgb="FF000000"/>
      <name val="Calibri"/>
      <family val="2"/>
    </font>
    <font>
      <b/>
      <sz val="18"/>
      <color rgb="FFFFFFFF"/>
      <name val="Calibri"/>
      <family val="2"/>
    </font>
  </fonts>
  <fills count="19">
    <fill>
      <patternFill patternType="none"/>
    </fill>
    <fill>
      <patternFill patternType="gray125"/>
    </fill>
    <fill>
      <patternFill patternType="solid">
        <fgColor rgb="FF10253F"/>
        <bgColor rgb="FF10253F"/>
      </patternFill>
    </fill>
    <fill>
      <patternFill patternType="solid">
        <fgColor rgb="FF00FF00"/>
        <bgColor rgb="FF00FF00"/>
      </patternFill>
    </fill>
    <fill>
      <patternFill patternType="solid">
        <fgColor rgb="FF17375E"/>
        <bgColor rgb="FF17375E"/>
      </patternFill>
    </fill>
    <fill>
      <patternFill patternType="solid">
        <fgColor rgb="FF1F497D"/>
        <bgColor rgb="FF1F497D"/>
      </patternFill>
    </fill>
    <fill>
      <patternFill patternType="solid">
        <fgColor rgb="FF00B050"/>
        <bgColor indexed="64"/>
      </patternFill>
    </fill>
    <fill>
      <patternFill patternType="solid">
        <fgColor rgb="FFFF0000"/>
        <bgColor indexed="64"/>
      </patternFill>
    </fill>
    <fill>
      <patternFill patternType="solid">
        <fgColor rgb="FF92D050"/>
        <bgColor rgb="FF92D050"/>
      </patternFill>
    </fill>
    <fill>
      <patternFill patternType="solid">
        <fgColor rgb="FF1F497D"/>
        <bgColor rgb="FF1F497D"/>
      </patternFill>
    </fill>
    <fill>
      <patternFill patternType="solid">
        <fgColor rgb="FFD9E1F2"/>
        <bgColor rgb="FFD9E1F2"/>
      </patternFill>
    </fill>
    <fill>
      <patternFill patternType="solid">
        <fgColor rgb="FFFF0000"/>
        <bgColor rgb="FFFF0000"/>
      </patternFill>
    </fill>
    <fill>
      <patternFill patternType="solid">
        <fgColor rgb="FFED7D31"/>
        <bgColor rgb="FFED7D31"/>
      </patternFill>
    </fill>
    <fill>
      <patternFill patternType="solid">
        <fgColor rgb="FF5B9BD5"/>
        <bgColor rgb="FF5B9BD5"/>
      </patternFill>
    </fill>
    <fill>
      <patternFill patternType="solid">
        <fgColor rgb="FFFFD966"/>
        <bgColor rgb="FFFFD966"/>
      </patternFill>
    </fill>
    <fill>
      <patternFill patternType="solid">
        <fgColor theme="8" tint="-0.249977111117893"/>
        <bgColor rgb="FF92D050"/>
      </patternFill>
    </fill>
    <fill>
      <patternFill patternType="solid">
        <fgColor theme="8" tint="0.39997558519241921"/>
        <bgColor rgb="FF92D050"/>
      </patternFill>
    </fill>
    <fill>
      <patternFill patternType="solid">
        <fgColor rgb="FFEA4335"/>
        <bgColor indexed="64"/>
      </patternFill>
    </fill>
    <fill>
      <patternFill patternType="solid">
        <fgColor rgb="FFF2F2F2"/>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B2B2B2"/>
      </left>
      <right style="thin">
        <color rgb="FFB2B2B2"/>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s>
  <cellStyleXfs count="3">
    <xf numFmtId="0" fontId="0" fillId="0" borderId="0"/>
    <xf numFmtId="0" fontId="14" fillId="0" borderId="0"/>
    <xf numFmtId="0" fontId="29" fillId="0" borderId="0"/>
  </cellStyleXfs>
  <cellXfs count="77">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2" fillId="3" borderId="0" xfId="0" applyFont="1" applyFill="1" applyAlignment="1">
      <alignment horizontal="center" vertical="center" wrapText="1"/>
    </xf>
    <xf numFmtId="0" fontId="2" fillId="0" borderId="0" xfId="0" applyFont="1" applyAlignment="1">
      <alignment horizontal="center" vertical="center" wrapText="1"/>
    </xf>
    <xf numFmtId="0" fontId="3" fillId="5" borderId="1" xfId="0" applyFont="1" applyFill="1" applyBorder="1" applyAlignment="1">
      <alignment horizontal="center" vertical="center" wrapText="1"/>
    </xf>
    <xf numFmtId="0" fontId="5" fillId="0" borderId="1" xfId="0"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5"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top" wrapText="1"/>
    </xf>
    <xf numFmtId="0" fontId="10" fillId="0" borderId="1" xfId="0" applyFont="1" applyBorder="1" applyAlignment="1">
      <alignment horizontal="center" vertical="center" wrapText="1"/>
    </xf>
    <xf numFmtId="0" fontId="9" fillId="0" borderId="1" xfId="0" applyFont="1" applyBorder="1" applyAlignment="1">
      <alignment horizontal="left" vertical="top" wrapText="1"/>
    </xf>
    <xf numFmtId="0" fontId="11" fillId="0" borderId="0" xfId="0" applyFont="1" applyAlignment="1">
      <alignment vertical="center"/>
    </xf>
    <xf numFmtId="0" fontId="9" fillId="0" borderId="1" xfId="0" quotePrefix="1" applyFont="1" applyBorder="1" applyAlignment="1">
      <alignment horizontal="center" vertical="center" wrapText="1"/>
    </xf>
    <xf numFmtId="0" fontId="12" fillId="0" borderId="1" xfId="0" applyFont="1" applyBorder="1" applyAlignment="1">
      <alignment horizontal="left" vertical="top" wrapText="1"/>
    </xf>
    <xf numFmtId="0" fontId="9" fillId="0" borderId="2" xfId="0" applyFont="1" applyBorder="1" applyAlignment="1">
      <alignment horizontal="center" vertical="center" wrapText="1"/>
    </xf>
    <xf numFmtId="0" fontId="13" fillId="0" borderId="1" xfId="0" applyFont="1" applyBorder="1" applyAlignment="1">
      <alignment horizontal="left" vertical="center" wrapText="1"/>
    </xf>
    <xf numFmtId="0" fontId="9" fillId="0" borderId="0" xfId="0" applyFont="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center" vertical="center" wrapText="1"/>
    </xf>
    <xf numFmtId="0" fontId="15" fillId="7" borderId="0" xfId="0" applyFont="1" applyFill="1" applyAlignment="1">
      <alignment horizontal="center" vertical="center" wrapText="1"/>
    </xf>
    <xf numFmtId="0" fontId="0" fillId="0" borderId="0" xfId="0" applyAlignment="1">
      <alignment vertical="top"/>
    </xf>
    <xf numFmtId="0" fontId="10" fillId="6" borderId="1" xfId="0" applyFont="1" applyFill="1" applyBorder="1" applyAlignment="1">
      <alignment horizontal="center" vertical="center" wrapText="1"/>
    </xf>
    <xf numFmtId="0" fontId="17" fillId="8" borderId="3" xfId="0" applyFont="1" applyFill="1" applyBorder="1" applyAlignment="1">
      <alignment horizontal="center" vertical="center"/>
    </xf>
    <xf numFmtId="0" fontId="18" fillId="0" borderId="3" xfId="0" applyFont="1" applyBorder="1" applyAlignment="1">
      <alignment horizontal="center" vertical="center"/>
    </xf>
    <xf numFmtId="0" fontId="18" fillId="0" borderId="3" xfId="0" applyFont="1" applyBorder="1" applyAlignment="1">
      <alignment horizontal="left" vertical="center"/>
    </xf>
    <xf numFmtId="0" fontId="19" fillId="0" borderId="3" xfId="0" applyFont="1" applyBorder="1" applyAlignment="1">
      <alignment horizontal="left" vertical="center" wrapText="1"/>
    </xf>
    <xf numFmtId="0" fontId="20" fillId="0" borderId="0" xfId="0" applyFont="1"/>
    <xf numFmtId="0" fontId="21" fillId="9" borderId="0" xfId="0" applyFont="1" applyFill="1" applyAlignment="1">
      <alignment horizontal="center" vertical="center"/>
    </xf>
    <xf numFmtId="0" fontId="18" fillId="0" borderId="3" xfId="0" applyFont="1" applyBorder="1"/>
    <xf numFmtId="0" fontId="19" fillId="0" borderId="3" xfId="0" applyFont="1" applyBorder="1" applyAlignment="1">
      <alignment horizontal="left" vertical="center"/>
    </xf>
    <xf numFmtId="0" fontId="18" fillId="8" borderId="3" xfId="0" applyFont="1" applyFill="1" applyBorder="1" applyAlignment="1">
      <alignment horizontal="center" vertical="center"/>
    </xf>
    <xf numFmtId="0" fontId="23" fillId="11" borderId="3" xfId="0" applyFont="1" applyFill="1" applyBorder="1" applyAlignment="1">
      <alignment horizontal="center" vertical="center"/>
    </xf>
    <xf numFmtId="0" fontId="18" fillId="12" borderId="3" xfId="0" applyFont="1" applyFill="1" applyBorder="1" applyAlignment="1">
      <alignment horizontal="center" vertical="center"/>
    </xf>
    <xf numFmtId="0" fontId="18" fillId="13" borderId="3" xfId="0" applyFont="1" applyFill="1" applyBorder="1" applyAlignment="1">
      <alignment horizontal="center" vertical="center"/>
    </xf>
    <xf numFmtId="0" fontId="18" fillId="14" borderId="3" xfId="0" applyFont="1" applyFill="1" applyBorder="1" applyAlignment="1">
      <alignment horizontal="center" vertical="center"/>
    </xf>
    <xf numFmtId="0" fontId="17" fillId="15" borderId="3" xfId="0" applyFont="1" applyFill="1" applyBorder="1" applyAlignment="1">
      <alignment horizontal="center" vertical="center"/>
    </xf>
    <xf numFmtId="0" fontId="17" fillId="16" borderId="3" xfId="0" applyFont="1" applyFill="1" applyBorder="1" applyAlignment="1">
      <alignment horizontal="center" vertical="center"/>
    </xf>
    <xf numFmtId="0" fontId="27" fillId="11" borderId="3" xfId="0" applyFont="1" applyFill="1" applyBorder="1" applyAlignment="1">
      <alignment horizontal="center" vertical="center"/>
    </xf>
    <xf numFmtId="0" fontId="0" fillId="0" borderId="0" xfId="0" applyAlignment="1">
      <alignment horizontal="center" vertical="center"/>
    </xf>
    <xf numFmtId="0" fontId="32" fillId="0" borderId="3" xfId="0" applyFont="1" applyBorder="1" applyAlignment="1">
      <alignment horizontal="center" vertical="center"/>
    </xf>
    <xf numFmtId="0" fontId="24" fillId="0" borderId="0" xfId="0" applyFont="1" applyAlignment="1">
      <alignment horizontal="center" vertical="center"/>
    </xf>
    <xf numFmtId="0" fontId="0" fillId="0" borderId="0" xfId="0"/>
    <xf numFmtId="0" fontId="8" fillId="2" borderId="0" xfId="0" applyFont="1" applyFill="1" applyAlignment="1">
      <alignment horizontal="center" vertical="center" wrapText="1"/>
    </xf>
    <xf numFmtId="0" fontId="7" fillId="4" borderId="0" xfId="0" applyFont="1" applyFill="1" applyAlignment="1">
      <alignment horizontal="center" vertical="center" wrapText="1"/>
    </xf>
    <xf numFmtId="0" fontId="6" fillId="2" borderId="0" xfId="0" applyFont="1" applyFill="1" applyAlignment="1">
      <alignment horizontal="center" vertical="center" wrapText="1"/>
    </xf>
    <xf numFmtId="0" fontId="33" fillId="2" borderId="0" xfId="0" applyFont="1" applyFill="1" applyAlignment="1">
      <alignment horizontal="center" vertical="center" wrapText="1"/>
    </xf>
    <xf numFmtId="0" fontId="28" fillId="18" borderId="0" xfId="0" applyFont="1" applyFill="1" applyAlignment="1">
      <alignment horizontal="left" vertical="center" wrapText="1"/>
    </xf>
    <xf numFmtId="0" fontId="30" fillId="17" borderId="7" xfId="0" applyFont="1" applyFill="1" applyBorder="1" applyAlignment="1">
      <alignment horizontal="left" vertical="center"/>
    </xf>
    <xf numFmtId="0" fontId="30" fillId="17" borderId="0" xfId="0" applyFont="1" applyFill="1" applyAlignment="1">
      <alignment horizontal="left" vertical="center"/>
    </xf>
    <xf numFmtId="0" fontId="30" fillId="17" borderId="6" xfId="0" applyFont="1" applyFill="1" applyBorder="1" applyAlignment="1">
      <alignment horizontal="left" vertical="center"/>
    </xf>
    <xf numFmtId="0" fontId="31" fillId="18" borderId="7" xfId="0" applyFont="1" applyFill="1" applyBorder="1" applyAlignment="1">
      <alignment horizontal="left" vertical="center"/>
    </xf>
    <xf numFmtId="0" fontId="31" fillId="18" borderId="0" xfId="0" applyFont="1" applyFill="1" applyAlignment="1">
      <alignment horizontal="left" vertical="center"/>
    </xf>
    <xf numFmtId="0" fontId="28" fillId="18" borderId="0" xfId="0" applyFont="1" applyFill="1" applyAlignment="1">
      <alignment horizontal="left" vertical="center"/>
    </xf>
    <xf numFmtId="0" fontId="0" fillId="18" borderId="0" xfId="0" applyFill="1" applyAlignment="1">
      <alignment horizontal="left" vertical="top" wrapText="1"/>
    </xf>
    <xf numFmtId="0" fontId="0" fillId="18" borderId="0" xfId="0" applyFill="1" applyAlignment="1">
      <alignment horizontal="left" vertical="center"/>
    </xf>
    <xf numFmtId="0" fontId="14" fillId="0" borderId="0" xfId="1"/>
    <xf numFmtId="0" fontId="28" fillId="18" borderId="9" xfId="0" applyFont="1" applyFill="1" applyBorder="1" applyAlignment="1">
      <alignment horizontal="left" vertical="center"/>
    </xf>
    <xf numFmtId="0" fontId="28" fillId="18" borderId="8" xfId="0" applyFont="1" applyFill="1" applyBorder="1" applyAlignment="1">
      <alignment horizontal="left" vertical="center"/>
    </xf>
    <xf numFmtId="0" fontId="25" fillId="0" borderId="0" xfId="0" applyFont="1" applyAlignment="1">
      <alignment horizontal="center" vertical="center"/>
    </xf>
    <xf numFmtId="0" fontId="17" fillId="10" borderId="3" xfId="0" applyFont="1" applyFill="1" applyBorder="1" applyAlignment="1">
      <alignment horizontal="center" vertical="center"/>
    </xf>
    <xf numFmtId="0" fontId="0" fillId="0" borderId="4" xfId="0" applyBorder="1"/>
    <xf numFmtId="0" fontId="0" fillId="0" borderId="5" xfId="0" applyBorder="1"/>
    <xf numFmtId="0" fontId="19" fillId="0" borderId="3" xfId="0" applyFont="1" applyBorder="1" applyAlignment="1">
      <alignment horizontal="left" vertical="center"/>
    </xf>
    <xf numFmtId="0" fontId="26" fillId="0" borderId="3" xfId="0" applyFont="1" applyBorder="1" applyAlignment="1">
      <alignment horizontal="left" vertical="center"/>
    </xf>
    <xf numFmtId="0" fontId="16" fillId="0" borderId="0" xfId="0" applyFont="1" applyAlignment="1">
      <alignment horizontal="center" vertical="center"/>
    </xf>
    <xf numFmtId="0" fontId="17" fillId="8" borderId="3" xfId="0" applyFont="1" applyFill="1" applyBorder="1" applyAlignment="1">
      <alignment horizontal="center" vertical="center"/>
    </xf>
    <xf numFmtId="0" fontId="22" fillId="0" borderId="3" xfId="0" applyFont="1" applyBorder="1" applyAlignment="1">
      <alignment horizontal="left" vertical="center"/>
    </xf>
    <xf numFmtId="0" fontId="14" fillId="0" borderId="0" xfId="1" applyAlignment="1">
      <alignment horizontal="center" vertical="center"/>
    </xf>
  </cellXfs>
  <cellStyles count="3">
    <cellStyle name="Hyperlink" xfId="1" builtinId="8"/>
    <cellStyle name="Normal" xfId="0" builtinId="0"/>
    <cellStyle name="Normal 2" xfId="2" xr:uid="{1346A77B-1927-4640-848B-D1A684B985F3}"/>
  </cellStyles>
  <dxfs count="2">
    <dxf>
      <font>
        <b/>
        <sz val="10"/>
        <color rgb="FFFFFFFF"/>
        <name val="Calibri"/>
      </font>
      <fill>
        <patternFill patternType="solid">
          <fgColor rgb="FFFF0000"/>
          <bgColor rgb="FFFF0000"/>
        </patternFill>
      </fill>
    </dxf>
    <dxf>
      <font>
        <b/>
        <sz val="10"/>
        <color rgb="FF000000"/>
        <name val="Calibri"/>
      </font>
      <fill>
        <patternFill patternType="solid">
          <fgColor rgb="FF00FF00"/>
          <bgColor rgb="FF00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82550</xdr:colOff>
      <xdr:row>54</xdr:row>
      <xdr:rowOff>114300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8616950" cy="1005840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rive.google.com/file/d/13cVSShJ2xMky9jDT6I5W3roS24y2YEft/view?usp=sharing"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rive.google.com/file/d/13cVSShJ2xMky9jDT6I5W3roS24y2YEft/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opLeftCell="A18" zoomScale="90" zoomScaleNormal="90" workbookViewId="0">
      <selection activeCell="E6" sqref="E6"/>
    </sheetView>
  </sheetViews>
  <sheetFormatPr defaultRowHeight="14.5" x14ac:dyDescent="0.35"/>
  <cols>
    <col min="1" max="1" width="16" customWidth="1"/>
    <col min="2" max="2" width="28" customWidth="1"/>
    <col min="3" max="3" width="95" customWidth="1"/>
  </cols>
  <sheetData>
    <row r="1" spans="1:3" x14ac:dyDescent="0.35">
      <c r="A1" s="49" t="s">
        <v>0</v>
      </c>
      <c r="B1" s="50"/>
      <c r="C1" s="50"/>
    </row>
    <row r="2" spans="1:3" x14ac:dyDescent="0.35">
      <c r="A2" s="50"/>
      <c r="B2" s="50"/>
      <c r="C2" s="50"/>
    </row>
    <row r="3" spans="1:3" x14ac:dyDescent="0.35">
      <c r="A3" s="50"/>
      <c r="B3" s="50"/>
      <c r="C3" s="50"/>
    </row>
    <row r="4" spans="1:3" x14ac:dyDescent="0.35">
      <c r="A4" s="50"/>
      <c r="B4" s="50"/>
      <c r="C4" s="50"/>
    </row>
    <row r="5" spans="1:3" x14ac:dyDescent="0.35">
      <c r="A5" s="50"/>
      <c r="B5" s="50"/>
      <c r="C5" s="50"/>
    </row>
    <row r="6" spans="1:3" x14ac:dyDescent="0.35">
      <c r="A6" s="50"/>
      <c r="B6" s="50"/>
      <c r="C6" s="50"/>
    </row>
    <row r="7" spans="1:3" x14ac:dyDescent="0.35">
      <c r="A7" s="50"/>
      <c r="B7" s="50"/>
      <c r="C7" s="50"/>
    </row>
    <row r="8" spans="1:3" ht="21.5" customHeight="1" x14ac:dyDescent="0.35">
      <c r="A8" s="50"/>
      <c r="B8" s="50"/>
      <c r="C8" s="50"/>
    </row>
    <row r="9" spans="1:3" ht="14.5" customHeight="1" x14ac:dyDescent="0.35">
      <c r="A9" s="50"/>
      <c r="B9" s="50"/>
      <c r="C9" s="50"/>
    </row>
    <row r="10" spans="1:3" hidden="1" x14ac:dyDescent="0.35">
      <c r="A10" s="50"/>
      <c r="B10" s="50"/>
      <c r="C10" s="50"/>
    </row>
    <row r="11" spans="1:3" hidden="1" x14ac:dyDescent="0.35">
      <c r="A11" s="50"/>
      <c r="B11" s="50"/>
      <c r="C11" s="50"/>
    </row>
    <row r="12" spans="1:3" ht="25" customHeight="1" x14ac:dyDescent="0.35">
      <c r="A12" s="44" t="s">
        <v>1</v>
      </c>
      <c r="B12" s="44" t="s">
        <v>2</v>
      </c>
      <c r="C12" s="44" t="s">
        <v>3</v>
      </c>
    </row>
    <row r="13" spans="1:3" ht="24" customHeight="1" x14ac:dyDescent="0.35">
      <c r="A13" s="32" t="s">
        <v>4</v>
      </c>
      <c r="B13" s="33" t="s">
        <v>5</v>
      </c>
      <c r="C13" s="34" t="s">
        <v>6</v>
      </c>
    </row>
    <row r="14" spans="1:3" ht="24" customHeight="1" x14ac:dyDescent="0.35">
      <c r="A14" s="32" t="s">
        <v>7</v>
      </c>
      <c r="B14" s="33" t="s">
        <v>8</v>
      </c>
      <c r="C14" s="34" t="s">
        <v>9</v>
      </c>
    </row>
    <row r="15" spans="1:3" ht="30.5" customHeight="1" x14ac:dyDescent="0.35">
      <c r="A15" s="32" t="s">
        <v>10</v>
      </c>
      <c r="B15" s="33" t="s">
        <v>11</v>
      </c>
      <c r="C15" s="34" t="s">
        <v>12</v>
      </c>
    </row>
    <row r="16" spans="1:3" ht="24" customHeight="1" x14ac:dyDescent="0.35">
      <c r="A16" s="32" t="s">
        <v>13</v>
      </c>
      <c r="B16" s="33" t="s">
        <v>14</v>
      </c>
      <c r="C16" s="34" t="s">
        <v>15</v>
      </c>
    </row>
    <row r="17" spans="1:3" ht="24" customHeight="1" x14ac:dyDescent="0.35">
      <c r="A17" s="32" t="s">
        <v>16</v>
      </c>
      <c r="B17" s="33" t="s">
        <v>17</v>
      </c>
      <c r="C17" s="34" t="s">
        <v>18</v>
      </c>
    </row>
    <row r="18" spans="1:3" ht="24" customHeight="1" x14ac:dyDescent="0.35">
      <c r="A18" s="32" t="s">
        <v>19</v>
      </c>
      <c r="B18" s="33" t="s">
        <v>20</v>
      </c>
      <c r="C18" s="34" t="s">
        <v>21</v>
      </c>
    </row>
    <row r="19" spans="1:3" ht="24" customHeight="1" x14ac:dyDescent="0.35">
      <c r="A19" s="32" t="s">
        <v>22</v>
      </c>
      <c r="B19" s="33" t="s">
        <v>23</v>
      </c>
      <c r="C19" s="34" t="s">
        <v>24</v>
      </c>
    </row>
    <row r="20" spans="1:3" ht="24" customHeight="1" x14ac:dyDescent="0.35">
      <c r="A20" s="32" t="s">
        <v>25</v>
      </c>
      <c r="B20" s="33" t="s">
        <v>26</v>
      </c>
      <c r="C20" s="34" t="s">
        <v>27</v>
      </c>
    </row>
    <row r="21" spans="1:3" ht="24" customHeight="1" x14ac:dyDescent="0.35">
      <c r="A21" s="32" t="s">
        <v>28</v>
      </c>
      <c r="B21" s="33" t="s">
        <v>29</v>
      </c>
      <c r="C21" s="34" t="s">
        <v>30</v>
      </c>
    </row>
    <row r="22" spans="1:3" ht="24" customHeight="1" x14ac:dyDescent="0.35">
      <c r="A22" s="32" t="s">
        <v>31</v>
      </c>
      <c r="B22" s="33" t="s">
        <v>32</v>
      </c>
      <c r="C22" s="34" t="s">
        <v>33</v>
      </c>
    </row>
    <row r="23" spans="1:3" ht="24" customHeight="1" x14ac:dyDescent="0.35">
      <c r="A23" s="32" t="s">
        <v>34</v>
      </c>
      <c r="B23" s="33" t="s">
        <v>35</v>
      </c>
      <c r="C23" s="34" t="s">
        <v>36</v>
      </c>
    </row>
    <row r="24" spans="1:3" ht="24" customHeight="1" x14ac:dyDescent="0.35">
      <c r="A24" s="32" t="s">
        <v>37</v>
      </c>
      <c r="B24" s="33" t="s">
        <v>38</v>
      </c>
      <c r="C24" s="34" t="s">
        <v>39</v>
      </c>
    </row>
    <row r="25" spans="1:3" ht="24" customHeight="1" x14ac:dyDescent="0.35">
      <c r="A25" s="32" t="s">
        <v>40</v>
      </c>
      <c r="B25" s="33" t="s">
        <v>41</v>
      </c>
      <c r="C25" s="34" t="s">
        <v>42</v>
      </c>
    </row>
    <row r="26" spans="1:3" ht="24" customHeight="1" x14ac:dyDescent="0.35">
      <c r="A26" s="32" t="s">
        <v>43</v>
      </c>
      <c r="B26" s="33" t="s">
        <v>44</v>
      </c>
      <c r="C26" s="34" t="s">
        <v>45</v>
      </c>
    </row>
    <row r="27" spans="1:3" ht="24" customHeight="1" x14ac:dyDescent="0.35">
      <c r="A27" s="32" t="s">
        <v>46</v>
      </c>
      <c r="B27" s="33" t="s">
        <v>47</v>
      </c>
      <c r="C27" s="34" t="s">
        <v>48</v>
      </c>
    </row>
  </sheetData>
  <mergeCells count="1">
    <mergeCell ref="A1:C1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11" zoomScale="70" zoomScaleNormal="70"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45"/>
  <sheetViews>
    <sheetView zoomScale="50" zoomScaleNormal="50" workbookViewId="0">
      <pane ySplit="6" topLeftCell="A7" activePane="bottomLeft" state="frozen"/>
      <selection pane="bottomLeft" activeCell="A83" sqref="A83:XFD83"/>
    </sheetView>
  </sheetViews>
  <sheetFormatPr defaultRowHeight="14.5" x14ac:dyDescent="0.35"/>
  <cols>
    <col min="1" max="1" width="3" customWidth="1"/>
    <col min="2" max="2" width="19.36328125" customWidth="1"/>
    <col min="3" max="3" width="25.26953125" customWidth="1"/>
    <col min="4" max="4" width="24" customWidth="1"/>
    <col min="5" max="5" width="45" customWidth="1"/>
    <col min="6" max="6" width="55" customWidth="1"/>
    <col min="7" max="7" width="35" customWidth="1"/>
    <col min="8" max="9" width="45" customWidth="1"/>
    <col min="10" max="11" width="18" customWidth="1"/>
    <col min="12" max="12" width="15" customWidth="1"/>
  </cols>
  <sheetData>
    <row r="1" spans="2:12" ht="31.5" customHeight="1" x14ac:dyDescent="0.35">
      <c r="B1" s="47" t="s">
        <v>120</v>
      </c>
      <c r="C1" s="47" t="s">
        <v>121</v>
      </c>
      <c r="D1" s="47" t="s">
        <v>102</v>
      </c>
      <c r="E1" s="47" t="s">
        <v>122</v>
      </c>
      <c r="F1" t="s">
        <v>123</v>
      </c>
      <c r="K1" s="1" t="s">
        <v>124</v>
      </c>
      <c r="L1" s="2" t="s">
        <v>125</v>
      </c>
    </row>
    <row r="2" spans="2:12" ht="46" customHeight="1" x14ac:dyDescent="0.35">
      <c r="B2" s="27" t="s">
        <v>1314</v>
      </c>
      <c r="C2" s="47" t="s">
        <v>126</v>
      </c>
      <c r="D2" s="47" t="s">
        <v>1312</v>
      </c>
      <c r="E2" s="47" t="s">
        <v>127</v>
      </c>
      <c r="F2" t="s">
        <v>123</v>
      </c>
      <c r="K2" s="3" t="s">
        <v>106</v>
      </c>
      <c r="L2" s="4">
        <v>225</v>
      </c>
    </row>
    <row r="3" spans="2:12" ht="41.5" customHeight="1" x14ac:dyDescent="0.35">
      <c r="B3" s="47" t="s">
        <v>128</v>
      </c>
      <c r="C3" s="47" t="s">
        <v>129</v>
      </c>
      <c r="D3" s="47" t="s">
        <v>99</v>
      </c>
      <c r="E3" s="47" t="s">
        <v>130</v>
      </c>
      <c r="F3" s="22" t="s">
        <v>1315</v>
      </c>
      <c r="K3" s="28" t="s">
        <v>107</v>
      </c>
      <c r="L3" s="4">
        <f>COUNTIF(L8:L231, "FAILED")</f>
        <v>1</v>
      </c>
    </row>
    <row r="4" spans="2:12" ht="26" customHeight="1" x14ac:dyDescent="0.35">
      <c r="C4" s="47" t="s">
        <v>131</v>
      </c>
      <c r="D4" s="47" t="s">
        <v>1316</v>
      </c>
      <c r="E4" s="47" t="s">
        <v>132</v>
      </c>
      <c r="F4" s="47" t="s">
        <v>133</v>
      </c>
      <c r="K4" s="4" t="s">
        <v>134</v>
      </c>
      <c r="L4" s="4">
        <f>COUNTIF(L8:L231, "NO RUN")</f>
        <v>0</v>
      </c>
    </row>
    <row r="5" spans="2:12" ht="42" customHeight="1" x14ac:dyDescent="0.35">
      <c r="B5" s="51" t="s">
        <v>135</v>
      </c>
      <c r="C5" s="50"/>
      <c r="D5" s="50"/>
      <c r="E5" s="50"/>
      <c r="F5" s="50"/>
      <c r="G5" s="50"/>
      <c r="H5" s="50"/>
      <c r="I5" s="50"/>
      <c r="J5" s="50"/>
      <c r="K5" s="50"/>
      <c r="L5" s="50"/>
    </row>
    <row r="6" spans="2:12" ht="38.5" customHeight="1" x14ac:dyDescent="0.35">
      <c r="B6" s="10" t="s">
        <v>136</v>
      </c>
      <c r="C6" s="10" t="s">
        <v>137</v>
      </c>
      <c r="D6" s="10" t="s">
        <v>138</v>
      </c>
      <c r="E6" s="10" t="s">
        <v>139</v>
      </c>
      <c r="F6" s="10" t="s">
        <v>140</v>
      </c>
      <c r="G6" s="10" t="s">
        <v>141</v>
      </c>
      <c r="H6" s="10" t="s">
        <v>142</v>
      </c>
      <c r="I6" s="10" t="s">
        <v>143</v>
      </c>
      <c r="J6" s="10" t="s">
        <v>144</v>
      </c>
      <c r="K6" s="10" t="s">
        <v>145</v>
      </c>
      <c r="L6" s="5" t="s">
        <v>146</v>
      </c>
    </row>
    <row r="7" spans="2:12" ht="42" customHeight="1" x14ac:dyDescent="0.35">
      <c r="B7" s="53" t="s">
        <v>1317</v>
      </c>
      <c r="C7" s="50"/>
      <c r="D7" s="50"/>
      <c r="E7" s="50"/>
      <c r="F7" s="50"/>
      <c r="G7" s="50"/>
      <c r="H7" s="50"/>
      <c r="I7" s="50"/>
      <c r="J7" s="50"/>
      <c r="K7" s="50"/>
      <c r="L7" s="50"/>
    </row>
    <row r="8" spans="2:12" ht="132" customHeight="1" x14ac:dyDescent="0.35">
      <c r="B8" s="14" t="s">
        <v>147</v>
      </c>
      <c r="C8" s="11" t="s">
        <v>148</v>
      </c>
      <c r="D8" s="11" t="s">
        <v>149</v>
      </c>
      <c r="E8" s="11" t="s">
        <v>150</v>
      </c>
      <c r="F8" s="12" t="s">
        <v>151</v>
      </c>
      <c r="G8" s="12" t="s">
        <v>152</v>
      </c>
      <c r="H8" s="11" t="s">
        <v>153</v>
      </c>
      <c r="I8" s="11" t="s">
        <v>153</v>
      </c>
      <c r="J8" s="7"/>
      <c r="K8" s="7"/>
      <c r="L8" s="9" t="str">
        <f t="shared" ref="L8:L20" si="0">IF(EXACT(TRIM(H8), TRIM(I8)), "PASSED", "FAILED")</f>
        <v>PASSED</v>
      </c>
    </row>
    <row r="9" spans="2:12" ht="119.5" customHeight="1" x14ac:dyDescent="0.35">
      <c r="B9" s="14" t="s">
        <v>154</v>
      </c>
      <c r="C9" s="11" t="s">
        <v>148</v>
      </c>
      <c r="D9" s="11" t="s">
        <v>149</v>
      </c>
      <c r="E9" s="11" t="s">
        <v>155</v>
      </c>
      <c r="F9" s="12" t="s">
        <v>156</v>
      </c>
      <c r="G9" s="11" t="s">
        <v>157</v>
      </c>
      <c r="H9" s="11" t="s">
        <v>158</v>
      </c>
      <c r="I9" s="12" t="s">
        <v>158</v>
      </c>
      <c r="J9" s="7"/>
      <c r="K9" s="7"/>
      <c r="L9" s="9" t="str">
        <f t="shared" si="0"/>
        <v>PASSED</v>
      </c>
    </row>
    <row r="10" spans="2:12" ht="127.5" customHeight="1" x14ac:dyDescent="0.35">
      <c r="B10" s="14" t="s">
        <v>159</v>
      </c>
      <c r="C10" s="11" t="s">
        <v>148</v>
      </c>
      <c r="D10" s="11" t="s">
        <v>160</v>
      </c>
      <c r="E10" s="11" t="s">
        <v>161</v>
      </c>
      <c r="F10" s="12" t="s">
        <v>162</v>
      </c>
      <c r="G10" s="11" t="s">
        <v>163</v>
      </c>
      <c r="H10" s="11" t="s">
        <v>164</v>
      </c>
      <c r="I10" s="11" t="s">
        <v>164</v>
      </c>
      <c r="J10" s="7"/>
      <c r="K10" s="7"/>
      <c r="L10" s="9" t="str">
        <f t="shared" si="0"/>
        <v>PASSED</v>
      </c>
    </row>
    <row r="11" spans="2:12" ht="111.5" customHeight="1" x14ac:dyDescent="0.35">
      <c r="B11" s="14" t="s">
        <v>165</v>
      </c>
      <c r="C11" s="11" t="s">
        <v>166</v>
      </c>
      <c r="D11" s="11" t="s">
        <v>167</v>
      </c>
      <c r="E11" s="11" t="s">
        <v>168</v>
      </c>
      <c r="F11" s="12" t="s">
        <v>169</v>
      </c>
      <c r="G11" s="11" t="s">
        <v>170</v>
      </c>
      <c r="H11" s="11" t="s">
        <v>171</v>
      </c>
      <c r="I11" s="11" t="s">
        <v>171</v>
      </c>
      <c r="J11" s="7"/>
      <c r="K11" s="7"/>
      <c r="L11" s="9" t="str">
        <f t="shared" si="0"/>
        <v>PASSED</v>
      </c>
    </row>
    <row r="12" spans="2:12" ht="105.5" customHeight="1" x14ac:dyDescent="0.35">
      <c r="B12" s="14" t="s">
        <v>172</v>
      </c>
      <c r="C12" s="11" t="s">
        <v>166</v>
      </c>
      <c r="D12" s="11" t="s">
        <v>173</v>
      </c>
      <c r="E12" s="11" t="s">
        <v>174</v>
      </c>
      <c r="F12" s="12" t="s">
        <v>175</v>
      </c>
      <c r="G12" s="11" t="s">
        <v>176</v>
      </c>
      <c r="H12" s="11" t="s">
        <v>177</v>
      </c>
      <c r="I12" s="11" t="s">
        <v>177</v>
      </c>
      <c r="J12" s="7"/>
      <c r="K12" s="7"/>
      <c r="L12" s="9" t="str">
        <f t="shared" si="0"/>
        <v>PASSED</v>
      </c>
    </row>
    <row r="13" spans="2:12" ht="102.5" customHeight="1" x14ac:dyDescent="0.35">
      <c r="B13" s="14" t="s">
        <v>178</v>
      </c>
      <c r="C13" s="11" t="s">
        <v>179</v>
      </c>
      <c r="D13" s="11" t="s">
        <v>167</v>
      </c>
      <c r="E13" s="11" t="s">
        <v>180</v>
      </c>
      <c r="F13" s="12" t="s">
        <v>181</v>
      </c>
      <c r="G13" s="11" t="s">
        <v>182</v>
      </c>
      <c r="H13" s="11" t="s">
        <v>183</v>
      </c>
      <c r="I13" s="11" t="s">
        <v>183</v>
      </c>
      <c r="J13" s="7"/>
      <c r="K13" s="7"/>
      <c r="L13" s="9" t="str">
        <f t="shared" si="0"/>
        <v>PASSED</v>
      </c>
    </row>
    <row r="14" spans="2:12" ht="104.5" customHeight="1" x14ac:dyDescent="0.35">
      <c r="B14" s="14" t="s">
        <v>184</v>
      </c>
      <c r="C14" s="11" t="s">
        <v>185</v>
      </c>
      <c r="D14" s="11" t="s">
        <v>186</v>
      </c>
      <c r="E14" s="11" t="s">
        <v>187</v>
      </c>
      <c r="F14" s="12" t="s">
        <v>188</v>
      </c>
      <c r="G14" s="11" t="s">
        <v>189</v>
      </c>
      <c r="H14" s="17" t="s">
        <v>190</v>
      </c>
      <c r="I14" s="17" t="s">
        <v>190</v>
      </c>
      <c r="J14" s="7"/>
      <c r="K14" s="7"/>
      <c r="L14" s="9" t="str">
        <f t="shared" si="0"/>
        <v>PASSED</v>
      </c>
    </row>
    <row r="15" spans="2:12" ht="119" customHeight="1" x14ac:dyDescent="0.35">
      <c r="B15" s="14" t="s">
        <v>191</v>
      </c>
      <c r="C15" s="11" t="s">
        <v>192</v>
      </c>
      <c r="D15" s="11" t="s">
        <v>167</v>
      </c>
      <c r="E15" s="11" t="s">
        <v>193</v>
      </c>
      <c r="F15" s="12" t="s">
        <v>194</v>
      </c>
      <c r="G15" s="11" t="s">
        <v>195</v>
      </c>
      <c r="H15" s="11" t="s">
        <v>196</v>
      </c>
      <c r="I15" s="11" t="s">
        <v>196</v>
      </c>
      <c r="J15" s="7"/>
      <c r="K15" s="7"/>
      <c r="L15" s="9" t="str">
        <f t="shared" si="0"/>
        <v>PASSED</v>
      </c>
    </row>
    <row r="16" spans="2:12" ht="113" customHeight="1" x14ac:dyDescent="0.35">
      <c r="B16" s="14" t="s">
        <v>197</v>
      </c>
      <c r="C16" s="11" t="s">
        <v>192</v>
      </c>
      <c r="D16" s="11" t="s">
        <v>198</v>
      </c>
      <c r="E16" s="11" t="s">
        <v>199</v>
      </c>
      <c r="F16" s="12" t="s">
        <v>200</v>
      </c>
      <c r="G16" s="11" t="s">
        <v>201</v>
      </c>
      <c r="H16" s="18" t="s">
        <v>202</v>
      </c>
      <c r="I16" s="11" t="s">
        <v>202</v>
      </c>
      <c r="J16" s="7"/>
      <c r="K16" s="7"/>
      <c r="L16" s="9" t="str">
        <f t="shared" si="0"/>
        <v>PASSED</v>
      </c>
    </row>
    <row r="17" spans="2:13" ht="107" customHeight="1" x14ac:dyDescent="0.35">
      <c r="B17" s="14" t="s">
        <v>203</v>
      </c>
      <c r="C17" s="11" t="s">
        <v>192</v>
      </c>
      <c r="D17" s="11" t="s">
        <v>186</v>
      </c>
      <c r="E17" s="11" t="s">
        <v>204</v>
      </c>
      <c r="F17" s="12" t="s">
        <v>205</v>
      </c>
      <c r="G17" s="11" t="s">
        <v>206</v>
      </c>
      <c r="H17" s="11" t="s">
        <v>207</v>
      </c>
      <c r="I17" s="11" t="s">
        <v>207</v>
      </c>
      <c r="J17" s="7"/>
      <c r="K17" s="7"/>
      <c r="L17" s="9" t="str">
        <f t="shared" si="0"/>
        <v>PASSED</v>
      </c>
    </row>
    <row r="18" spans="2:13" ht="110.5" customHeight="1" x14ac:dyDescent="0.35">
      <c r="B18" s="14" t="s">
        <v>208</v>
      </c>
      <c r="C18" s="11" t="s">
        <v>209</v>
      </c>
      <c r="D18" s="11" t="s">
        <v>167</v>
      </c>
      <c r="E18" s="11" t="s">
        <v>210</v>
      </c>
      <c r="F18" s="12" t="s">
        <v>211</v>
      </c>
      <c r="G18" s="11" t="s">
        <v>212</v>
      </c>
      <c r="H18" s="11" t="s">
        <v>213</v>
      </c>
      <c r="I18" s="11" t="s">
        <v>213</v>
      </c>
      <c r="J18" s="7"/>
      <c r="K18" s="7"/>
      <c r="L18" s="9" t="str">
        <f t="shared" si="0"/>
        <v>PASSED</v>
      </c>
    </row>
    <row r="19" spans="2:13" ht="138" customHeight="1" x14ac:dyDescent="0.35">
      <c r="B19" s="14" t="s">
        <v>214</v>
      </c>
      <c r="C19" s="11" t="s">
        <v>215</v>
      </c>
      <c r="D19" s="11" t="s">
        <v>216</v>
      </c>
      <c r="E19" s="11" t="s">
        <v>217</v>
      </c>
      <c r="F19" s="20" t="s">
        <v>218</v>
      </c>
      <c r="G19" s="11" t="s">
        <v>219</v>
      </c>
      <c r="H19" s="11" t="s">
        <v>220</v>
      </c>
      <c r="I19" s="11" t="s">
        <v>220</v>
      </c>
      <c r="J19" s="7"/>
      <c r="K19" s="7"/>
      <c r="L19" s="9" t="str">
        <f t="shared" si="0"/>
        <v>PASSED</v>
      </c>
    </row>
    <row r="20" spans="2:13" ht="106.5" customHeight="1" x14ac:dyDescent="0.35">
      <c r="B20" s="14" t="s">
        <v>221</v>
      </c>
      <c r="C20" s="11" t="s">
        <v>215</v>
      </c>
      <c r="D20" s="11" t="s">
        <v>173</v>
      </c>
      <c r="E20" s="11" t="s">
        <v>222</v>
      </c>
      <c r="F20" s="12" t="s">
        <v>223</v>
      </c>
      <c r="G20" s="11" t="s">
        <v>224</v>
      </c>
      <c r="H20" s="11" t="s">
        <v>225</v>
      </c>
      <c r="I20" s="11" t="s">
        <v>225</v>
      </c>
      <c r="J20" s="7"/>
      <c r="K20" s="7"/>
      <c r="L20" s="9" t="str">
        <f t="shared" si="0"/>
        <v>PASSED</v>
      </c>
    </row>
    <row r="21" spans="2:13" ht="117" customHeight="1" x14ac:dyDescent="0.35">
      <c r="B21" s="14" t="s">
        <v>226</v>
      </c>
      <c r="C21" s="11" t="s">
        <v>215</v>
      </c>
      <c r="D21" s="11" t="s">
        <v>167</v>
      </c>
      <c r="E21" s="11" t="s">
        <v>227</v>
      </c>
      <c r="F21" s="12" t="s">
        <v>228</v>
      </c>
      <c r="G21" s="11" t="s">
        <v>229</v>
      </c>
      <c r="H21" s="11" t="s">
        <v>230</v>
      </c>
      <c r="I21" s="11" t="s">
        <v>230</v>
      </c>
      <c r="J21" s="7"/>
      <c r="K21" s="7"/>
      <c r="L21" s="9"/>
    </row>
    <row r="22" spans="2:13" ht="121" customHeight="1" x14ac:dyDescent="0.35">
      <c r="B22" s="14" t="s">
        <v>231</v>
      </c>
      <c r="C22" s="11" t="s">
        <v>232</v>
      </c>
      <c r="D22" s="11" t="s">
        <v>233</v>
      </c>
      <c r="E22" s="11" t="s">
        <v>234</v>
      </c>
      <c r="F22" s="12" t="s">
        <v>235</v>
      </c>
      <c r="G22" s="11" t="s">
        <v>236</v>
      </c>
      <c r="H22" s="11" t="s">
        <v>237</v>
      </c>
      <c r="I22" s="11" t="s">
        <v>237</v>
      </c>
      <c r="J22" s="7"/>
      <c r="K22" s="7"/>
      <c r="L22" s="9"/>
    </row>
    <row r="23" spans="2:13" x14ac:dyDescent="0.35">
      <c r="B23" s="6"/>
      <c r="C23" s="7"/>
      <c r="D23" s="7"/>
      <c r="E23" s="8"/>
      <c r="F23" s="8"/>
      <c r="G23" s="8"/>
      <c r="H23" s="8"/>
      <c r="I23" s="8"/>
      <c r="J23" s="7"/>
      <c r="K23" s="7"/>
      <c r="L23" s="9"/>
    </row>
    <row r="24" spans="2:13" ht="26" customHeight="1" x14ac:dyDescent="0.35">
      <c r="B24" s="52" t="s">
        <v>238</v>
      </c>
      <c r="C24" s="50"/>
      <c r="D24" s="50"/>
      <c r="E24" s="50"/>
      <c r="F24" s="50"/>
      <c r="G24" s="50"/>
      <c r="H24" s="50"/>
      <c r="I24" s="50"/>
      <c r="J24" s="50"/>
      <c r="K24" s="50"/>
      <c r="L24" s="50"/>
    </row>
    <row r="25" spans="2:13" ht="115.5" customHeight="1" x14ac:dyDescent="0.35">
      <c r="B25" s="14" t="s">
        <v>239</v>
      </c>
      <c r="C25" s="11" t="s">
        <v>148</v>
      </c>
      <c r="D25" s="11" t="s">
        <v>240</v>
      </c>
      <c r="E25" s="11" t="s">
        <v>241</v>
      </c>
      <c r="F25" s="12" t="s">
        <v>242</v>
      </c>
      <c r="G25" s="11" t="s">
        <v>243</v>
      </c>
      <c r="H25" s="11" t="s">
        <v>244</v>
      </c>
      <c r="I25" s="11" t="s">
        <v>244</v>
      </c>
      <c r="J25" s="11"/>
      <c r="K25" s="11"/>
      <c r="L25" s="14" t="str">
        <f t="shared" ref="L25:L47" si="1">IF(EXACT(TRIM(H25), TRIM(I25)), "PASSED", "FAILED")</f>
        <v>PASSED</v>
      </c>
      <c r="M25" s="16"/>
    </row>
    <row r="26" spans="2:13" ht="99" customHeight="1" x14ac:dyDescent="0.35">
      <c r="B26" s="14" t="s">
        <v>245</v>
      </c>
      <c r="C26" s="11" t="s">
        <v>148</v>
      </c>
      <c r="D26" s="11" t="s">
        <v>160</v>
      </c>
      <c r="E26" s="11" t="s">
        <v>246</v>
      </c>
      <c r="F26" s="12" t="s">
        <v>247</v>
      </c>
      <c r="G26" s="11" t="s">
        <v>248</v>
      </c>
      <c r="H26" s="11" t="s">
        <v>249</v>
      </c>
      <c r="I26" s="11" t="s">
        <v>249</v>
      </c>
      <c r="J26" s="11"/>
      <c r="K26" s="11"/>
      <c r="L26" s="14" t="str">
        <f t="shared" si="1"/>
        <v>PASSED</v>
      </c>
      <c r="M26" s="16"/>
    </row>
    <row r="27" spans="2:13" ht="91.5" customHeight="1" x14ac:dyDescent="0.35">
      <c r="B27" s="14" t="s">
        <v>250</v>
      </c>
      <c r="C27" s="11" t="s">
        <v>148</v>
      </c>
      <c r="D27" s="11" t="s">
        <v>251</v>
      </c>
      <c r="E27" s="11" t="s">
        <v>252</v>
      </c>
      <c r="F27" s="12" t="s">
        <v>253</v>
      </c>
      <c r="G27" s="11" t="s">
        <v>254</v>
      </c>
      <c r="H27" s="11" t="s">
        <v>255</v>
      </c>
      <c r="I27" s="11" t="s">
        <v>255</v>
      </c>
      <c r="J27" s="7"/>
      <c r="K27" s="7"/>
      <c r="L27" s="14" t="str">
        <f t="shared" si="1"/>
        <v>PASSED</v>
      </c>
    </row>
    <row r="28" spans="2:13" ht="96.5" customHeight="1" x14ac:dyDescent="0.35">
      <c r="B28" s="14" t="s">
        <v>256</v>
      </c>
      <c r="C28" s="11" t="s">
        <v>257</v>
      </c>
      <c r="D28" s="11" t="s">
        <v>167</v>
      </c>
      <c r="E28" s="11" t="s">
        <v>258</v>
      </c>
      <c r="F28" s="12" t="s">
        <v>259</v>
      </c>
      <c r="G28" s="11" t="s">
        <v>260</v>
      </c>
      <c r="H28" s="11" t="s">
        <v>261</v>
      </c>
      <c r="I28" s="11" t="s">
        <v>261</v>
      </c>
      <c r="J28" s="7"/>
      <c r="K28" s="7"/>
      <c r="L28" s="14" t="str">
        <f t="shared" si="1"/>
        <v>PASSED</v>
      </c>
    </row>
    <row r="29" spans="2:13" ht="101.5" customHeight="1" x14ac:dyDescent="0.35">
      <c r="B29" s="14" t="s">
        <v>262</v>
      </c>
      <c r="C29" s="11" t="s">
        <v>257</v>
      </c>
      <c r="D29" s="11" t="s">
        <v>186</v>
      </c>
      <c r="E29" s="11" t="s">
        <v>263</v>
      </c>
      <c r="F29" s="12" t="s">
        <v>264</v>
      </c>
      <c r="G29" s="11" t="s">
        <v>265</v>
      </c>
      <c r="H29" s="17" t="s">
        <v>266</v>
      </c>
      <c r="I29" s="17" t="s">
        <v>266</v>
      </c>
      <c r="J29" s="7"/>
      <c r="K29" s="7"/>
      <c r="L29" s="14" t="str">
        <f t="shared" si="1"/>
        <v>PASSED</v>
      </c>
    </row>
    <row r="30" spans="2:13" ht="108" customHeight="1" x14ac:dyDescent="0.35">
      <c r="B30" s="14" t="s">
        <v>267</v>
      </c>
      <c r="C30" s="11" t="s">
        <v>257</v>
      </c>
      <c r="D30" s="11" t="s">
        <v>186</v>
      </c>
      <c r="E30" s="11" t="s">
        <v>268</v>
      </c>
      <c r="F30" s="12" t="s">
        <v>269</v>
      </c>
      <c r="G30" s="12" t="s">
        <v>270</v>
      </c>
      <c r="H30" s="17" t="s">
        <v>266</v>
      </c>
      <c r="I30" s="17" t="s">
        <v>266</v>
      </c>
      <c r="J30" s="7"/>
      <c r="K30" s="7"/>
      <c r="L30" s="14" t="str">
        <f t="shared" si="1"/>
        <v>PASSED</v>
      </c>
    </row>
    <row r="31" spans="2:13" ht="111" customHeight="1" x14ac:dyDescent="0.35">
      <c r="B31" s="14" t="s">
        <v>271</v>
      </c>
      <c r="C31" s="11" t="s">
        <v>257</v>
      </c>
      <c r="D31" s="11" t="s">
        <v>186</v>
      </c>
      <c r="E31" s="11" t="s">
        <v>272</v>
      </c>
      <c r="F31" s="12" t="s">
        <v>273</v>
      </c>
      <c r="G31" s="11" t="s">
        <v>274</v>
      </c>
      <c r="H31" s="11" t="s">
        <v>275</v>
      </c>
      <c r="I31" s="11" t="s">
        <v>275</v>
      </c>
      <c r="J31" s="7"/>
      <c r="K31" s="7"/>
      <c r="L31" s="14" t="str">
        <f t="shared" si="1"/>
        <v>PASSED</v>
      </c>
    </row>
    <row r="32" spans="2:13" ht="82" customHeight="1" x14ac:dyDescent="0.35">
      <c r="B32" s="14" t="s">
        <v>276</v>
      </c>
      <c r="C32" s="11" t="s">
        <v>257</v>
      </c>
      <c r="D32" s="11" t="s">
        <v>186</v>
      </c>
      <c r="E32" s="11" t="s">
        <v>277</v>
      </c>
      <c r="F32" s="12" t="s">
        <v>278</v>
      </c>
      <c r="G32" s="11" t="s">
        <v>279</v>
      </c>
      <c r="H32" s="11" t="s">
        <v>275</v>
      </c>
      <c r="I32" s="11" t="s">
        <v>275</v>
      </c>
      <c r="J32" s="7"/>
      <c r="K32" s="7"/>
      <c r="L32" s="14" t="str">
        <f t="shared" si="1"/>
        <v>PASSED</v>
      </c>
    </row>
    <row r="33" spans="2:12" ht="121.5" customHeight="1" x14ac:dyDescent="0.35">
      <c r="B33" s="14" t="s">
        <v>280</v>
      </c>
      <c r="C33" s="11" t="s">
        <v>257</v>
      </c>
      <c r="D33" s="11" t="s">
        <v>173</v>
      </c>
      <c r="E33" s="11" t="s">
        <v>281</v>
      </c>
      <c r="F33" s="12" t="s">
        <v>282</v>
      </c>
      <c r="G33" s="11" t="s">
        <v>283</v>
      </c>
      <c r="H33" s="17" t="s">
        <v>284</v>
      </c>
      <c r="I33" s="17" t="s">
        <v>284</v>
      </c>
      <c r="J33" s="7"/>
      <c r="K33" s="7"/>
      <c r="L33" s="14" t="str">
        <f t="shared" si="1"/>
        <v>PASSED</v>
      </c>
    </row>
    <row r="34" spans="2:12" ht="95.5" customHeight="1" x14ac:dyDescent="0.35">
      <c r="B34" s="14" t="s">
        <v>285</v>
      </c>
      <c r="C34" s="11" t="s">
        <v>286</v>
      </c>
      <c r="D34" s="11" t="s">
        <v>287</v>
      </c>
      <c r="E34" s="11" t="s">
        <v>288</v>
      </c>
      <c r="F34" s="12" t="s">
        <v>289</v>
      </c>
      <c r="G34" s="11" t="s">
        <v>290</v>
      </c>
      <c r="H34" s="11" t="s">
        <v>291</v>
      </c>
      <c r="I34" s="11" t="s">
        <v>291</v>
      </c>
      <c r="J34" s="7"/>
      <c r="K34" s="7"/>
      <c r="L34" s="14" t="str">
        <f t="shared" si="1"/>
        <v>PASSED</v>
      </c>
    </row>
    <row r="35" spans="2:12" ht="115.5" customHeight="1" x14ac:dyDescent="0.35">
      <c r="B35" s="14" t="s">
        <v>292</v>
      </c>
      <c r="C35" s="11" t="s">
        <v>286</v>
      </c>
      <c r="D35" s="11" t="s">
        <v>293</v>
      </c>
      <c r="E35" s="12" t="s">
        <v>294</v>
      </c>
      <c r="F35" s="12" t="s">
        <v>295</v>
      </c>
      <c r="G35" s="11" t="s">
        <v>296</v>
      </c>
      <c r="H35" s="11" t="s">
        <v>297</v>
      </c>
      <c r="I35" s="11" t="s">
        <v>297</v>
      </c>
      <c r="J35" s="7"/>
      <c r="K35" s="7"/>
      <c r="L35" s="14" t="str">
        <f t="shared" si="1"/>
        <v>PASSED</v>
      </c>
    </row>
    <row r="36" spans="2:12" ht="117" customHeight="1" x14ac:dyDescent="0.35">
      <c r="B36" s="14" t="s">
        <v>298</v>
      </c>
      <c r="C36" s="11" t="s">
        <v>286</v>
      </c>
      <c r="D36" s="11" t="s">
        <v>167</v>
      </c>
      <c r="E36" s="11" t="s">
        <v>299</v>
      </c>
      <c r="F36" s="12" t="s">
        <v>300</v>
      </c>
      <c r="G36" s="11" t="s">
        <v>290</v>
      </c>
      <c r="H36" s="11" t="s">
        <v>301</v>
      </c>
      <c r="I36" s="11" t="s">
        <v>301</v>
      </c>
      <c r="J36" s="7"/>
      <c r="K36" s="7"/>
      <c r="L36" s="14" t="str">
        <f t="shared" si="1"/>
        <v>PASSED</v>
      </c>
    </row>
    <row r="37" spans="2:12" ht="109" customHeight="1" x14ac:dyDescent="0.35">
      <c r="B37" s="14" t="s">
        <v>302</v>
      </c>
      <c r="C37" s="11" t="s">
        <v>286</v>
      </c>
      <c r="D37" s="11" t="s">
        <v>167</v>
      </c>
      <c r="E37" s="11" t="s">
        <v>303</v>
      </c>
      <c r="F37" s="12" t="s">
        <v>304</v>
      </c>
      <c r="G37" s="11" t="s">
        <v>305</v>
      </c>
      <c r="H37" s="11" t="s">
        <v>306</v>
      </c>
      <c r="I37" s="11" t="s">
        <v>306</v>
      </c>
      <c r="J37" s="7"/>
      <c r="K37" s="7"/>
      <c r="L37" s="14" t="str">
        <f t="shared" si="1"/>
        <v>PASSED</v>
      </c>
    </row>
    <row r="38" spans="2:12" ht="124" customHeight="1" x14ac:dyDescent="0.35">
      <c r="B38" s="14" t="s">
        <v>307</v>
      </c>
      <c r="C38" s="11" t="s">
        <v>286</v>
      </c>
      <c r="D38" s="11" t="s">
        <v>173</v>
      </c>
      <c r="E38" s="11" t="s">
        <v>308</v>
      </c>
      <c r="F38" s="12" t="s">
        <v>309</v>
      </c>
      <c r="G38" s="11" t="s">
        <v>310</v>
      </c>
      <c r="H38" s="11" t="s">
        <v>311</v>
      </c>
      <c r="I38" s="11" t="s">
        <v>311</v>
      </c>
      <c r="J38" s="7"/>
      <c r="K38" s="7"/>
      <c r="L38" s="14" t="str">
        <f t="shared" si="1"/>
        <v>PASSED</v>
      </c>
    </row>
    <row r="39" spans="2:12" ht="105.5" customHeight="1" x14ac:dyDescent="0.35">
      <c r="B39" s="14" t="s">
        <v>312</v>
      </c>
      <c r="C39" s="11" t="s">
        <v>313</v>
      </c>
      <c r="D39" s="11" t="s">
        <v>293</v>
      </c>
      <c r="E39" s="11" t="s">
        <v>314</v>
      </c>
      <c r="F39" s="12" t="s">
        <v>315</v>
      </c>
      <c r="G39" s="11" t="s">
        <v>316</v>
      </c>
      <c r="H39" s="11" t="s">
        <v>317</v>
      </c>
      <c r="I39" s="11" t="s">
        <v>317</v>
      </c>
      <c r="J39" s="7"/>
      <c r="K39" s="7"/>
      <c r="L39" s="14" t="str">
        <f t="shared" si="1"/>
        <v>PASSED</v>
      </c>
    </row>
    <row r="40" spans="2:12" ht="120.5" customHeight="1" x14ac:dyDescent="0.35">
      <c r="B40" s="14" t="s">
        <v>318</v>
      </c>
      <c r="C40" s="11" t="s">
        <v>313</v>
      </c>
      <c r="D40" s="11" t="s">
        <v>167</v>
      </c>
      <c r="E40" s="11" t="s">
        <v>319</v>
      </c>
      <c r="F40" s="12" t="s">
        <v>320</v>
      </c>
      <c r="G40" s="11" t="s">
        <v>321</v>
      </c>
      <c r="H40" s="11" t="s">
        <v>322</v>
      </c>
      <c r="I40" s="11" t="s">
        <v>322</v>
      </c>
      <c r="J40" s="7"/>
      <c r="K40" s="7"/>
      <c r="L40" s="9" t="str">
        <f t="shared" si="1"/>
        <v>PASSED</v>
      </c>
    </row>
    <row r="41" spans="2:12" ht="101" customHeight="1" x14ac:dyDescent="0.35">
      <c r="B41" s="14" t="s">
        <v>323</v>
      </c>
      <c r="C41" s="11" t="s">
        <v>324</v>
      </c>
      <c r="D41" s="11" t="s">
        <v>216</v>
      </c>
      <c r="E41" s="11" t="s">
        <v>325</v>
      </c>
      <c r="F41" s="12" t="s">
        <v>326</v>
      </c>
      <c r="G41" s="12" t="s">
        <v>327</v>
      </c>
      <c r="H41" s="11" t="s">
        <v>328</v>
      </c>
      <c r="I41" s="11" t="s">
        <v>328</v>
      </c>
      <c r="J41" s="7"/>
      <c r="K41" s="7"/>
      <c r="L41" s="9" t="str">
        <f t="shared" si="1"/>
        <v>PASSED</v>
      </c>
    </row>
    <row r="42" spans="2:12" ht="116" customHeight="1" x14ac:dyDescent="0.35">
      <c r="B42" s="14" t="s">
        <v>329</v>
      </c>
      <c r="C42" s="11" t="s">
        <v>324</v>
      </c>
      <c r="D42" s="11" t="s">
        <v>173</v>
      </c>
      <c r="E42" s="11" t="s">
        <v>330</v>
      </c>
      <c r="F42" s="12" t="s">
        <v>331</v>
      </c>
      <c r="G42" s="12" t="s">
        <v>332</v>
      </c>
      <c r="H42" s="17" t="s">
        <v>333</v>
      </c>
      <c r="I42" s="17" t="s">
        <v>333</v>
      </c>
      <c r="J42" s="7"/>
      <c r="K42" s="7"/>
      <c r="L42" s="9" t="str">
        <f t="shared" si="1"/>
        <v>PASSED</v>
      </c>
    </row>
    <row r="43" spans="2:12" ht="105.5" customHeight="1" x14ac:dyDescent="0.35">
      <c r="B43" s="14" t="s">
        <v>334</v>
      </c>
      <c r="C43" s="11" t="s">
        <v>324</v>
      </c>
      <c r="D43" s="11" t="s">
        <v>173</v>
      </c>
      <c r="E43" s="11" t="s">
        <v>335</v>
      </c>
      <c r="F43" s="12" t="s">
        <v>336</v>
      </c>
      <c r="G43" s="12" t="s">
        <v>337</v>
      </c>
      <c r="H43" s="11" t="s">
        <v>338</v>
      </c>
      <c r="I43" s="11" t="s">
        <v>338</v>
      </c>
      <c r="J43" s="7"/>
      <c r="K43" s="7"/>
      <c r="L43" s="9" t="str">
        <f t="shared" si="1"/>
        <v>PASSED</v>
      </c>
    </row>
    <row r="44" spans="2:12" ht="105.5" customHeight="1" x14ac:dyDescent="0.35">
      <c r="B44" s="14" t="s">
        <v>339</v>
      </c>
      <c r="C44" s="11" t="s">
        <v>324</v>
      </c>
      <c r="D44" s="11" t="s">
        <v>173</v>
      </c>
      <c r="E44" s="11" t="s">
        <v>340</v>
      </c>
      <c r="F44" s="12" t="s">
        <v>341</v>
      </c>
      <c r="G44" s="12" t="s">
        <v>342</v>
      </c>
      <c r="H44" s="11" t="s">
        <v>338</v>
      </c>
      <c r="I44" s="11" t="s">
        <v>338</v>
      </c>
      <c r="J44" s="7"/>
      <c r="K44" s="7"/>
      <c r="L44" s="9" t="str">
        <f t="shared" si="1"/>
        <v>PASSED</v>
      </c>
    </row>
    <row r="45" spans="2:12" ht="103.5" customHeight="1" x14ac:dyDescent="0.35">
      <c r="B45" s="14" t="s">
        <v>343</v>
      </c>
      <c r="C45" s="11" t="s">
        <v>232</v>
      </c>
      <c r="D45" s="11" t="s">
        <v>233</v>
      </c>
      <c r="E45" s="11" t="s">
        <v>344</v>
      </c>
      <c r="F45" s="12" t="s">
        <v>345</v>
      </c>
      <c r="G45" s="11" t="s">
        <v>346</v>
      </c>
      <c r="H45" s="11" t="s">
        <v>347</v>
      </c>
      <c r="I45" s="11" t="s">
        <v>348</v>
      </c>
      <c r="J45" s="7"/>
      <c r="K45" s="7"/>
      <c r="L45" s="9" t="str">
        <f t="shared" si="1"/>
        <v>PASSED</v>
      </c>
    </row>
    <row r="46" spans="2:12" ht="122.5" customHeight="1" x14ac:dyDescent="0.35">
      <c r="B46" s="14" t="s">
        <v>349</v>
      </c>
      <c r="C46" s="11" t="s">
        <v>232</v>
      </c>
      <c r="D46" s="11" t="s">
        <v>233</v>
      </c>
      <c r="E46" s="11" t="s">
        <v>350</v>
      </c>
      <c r="F46" s="12" t="s">
        <v>351</v>
      </c>
      <c r="G46" s="11" t="s">
        <v>352</v>
      </c>
      <c r="H46" s="11" t="s">
        <v>353</v>
      </c>
      <c r="I46" s="11" t="s">
        <v>353</v>
      </c>
      <c r="J46" s="7"/>
      <c r="K46" s="7"/>
      <c r="L46" s="9" t="str">
        <f t="shared" si="1"/>
        <v>PASSED</v>
      </c>
    </row>
    <row r="47" spans="2:12" ht="110" customHeight="1" x14ac:dyDescent="0.35">
      <c r="B47" s="14" t="s">
        <v>354</v>
      </c>
      <c r="C47" s="11" t="s">
        <v>232</v>
      </c>
      <c r="D47" s="11" t="s">
        <v>233</v>
      </c>
      <c r="E47" s="11" t="s">
        <v>355</v>
      </c>
      <c r="F47" s="12" t="s">
        <v>356</v>
      </c>
      <c r="G47" s="11" t="s">
        <v>357</v>
      </c>
      <c r="H47" s="11" t="s">
        <v>358</v>
      </c>
      <c r="I47" s="11" t="s">
        <v>358</v>
      </c>
      <c r="J47" s="7"/>
      <c r="K47" s="7"/>
      <c r="L47" s="9" t="str">
        <f t="shared" si="1"/>
        <v>PASSED</v>
      </c>
    </row>
    <row r="48" spans="2:12" ht="26" customHeight="1" x14ac:dyDescent="0.35">
      <c r="B48" s="52" t="s">
        <v>359</v>
      </c>
      <c r="C48" s="50"/>
      <c r="D48" s="50"/>
      <c r="E48" s="50"/>
      <c r="F48" s="50"/>
      <c r="G48" s="50"/>
      <c r="H48" s="50"/>
      <c r="I48" s="50"/>
      <c r="J48" s="50"/>
      <c r="K48" s="50"/>
      <c r="L48" s="50"/>
    </row>
    <row r="49" spans="2:12" ht="129.5" customHeight="1" x14ac:dyDescent="0.35">
      <c r="B49" s="14" t="s">
        <v>360</v>
      </c>
      <c r="C49" s="11" t="s">
        <v>148</v>
      </c>
      <c r="D49" s="11" t="s">
        <v>149</v>
      </c>
      <c r="E49" s="11" t="s">
        <v>361</v>
      </c>
      <c r="F49" s="12" t="s">
        <v>362</v>
      </c>
      <c r="G49" s="12" t="s">
        <v>363</v>
      </c>
      <c r="H49" s="11" t="s">
        <v>364</v>
      </c>
      <c r="I49" s="11" t="s">
        <v>364</v>
      </c>
      <c r="J49" s="7"/>
      <c r="K49" s="7"/>
      <c r="L49" s="9" t="str">
        <f t="shared" ref="L49:L80" si="2">IF(EXACT(TRIM(H49), TRIM(I49)), "PASSED", "FAILED")</f>
        <v>PASSED</v>
      </c>
    </row>
    <row r="50" spans="2:12" ht="105" customHeight="1" x14ac:dyDescent="0.35">
      <c r="B50" s="14" t="s">
        <v>365</v>
      </c>
      <c r="C50" s="11" t="s">
        <v>148</v>
      </c>
      <c r="D50" s="11" t="s">
        <v>149</v>
      </c>
      <c r="E50" s="11" t="s">
        <v>366</v>
      </c>
      <c r="F50" s="12" t="s">
        <v>367</v>
      </c>
      <c r="G50" s="11" t="s">
        <v>368</v>
      </c>
      <c r="H50" s="11" t="s">
        <v>369</v>
      </c>
      <c r="I50" s="11" t="s">
        <v>369</v>
      </c>
      <c r="J50" s="7"/>
      <c r="K50" s="7"/>
      <c r="L50" s="9" t="str">
        <f t="shared" si="2"/>
        <v>PASSED</v>
      </c>
    </row>
    <row r="51" spans="2:12" ht="127.5" customHeight="1" x14ac:dyDescent="0.35">
      <c r="B51" s="14" t="s">
        <v>370</v>
      </c>
      <c r="C51" s="11" t="s">
        <v>148</v>
      </c>
      <c r="D51" s="11" t="s">
        <v>160</v>
      </c>
      <c r="E51" s="11" t="s">
        <v>371</v>
      </c>
      <c r="F51" s="12" t="s">
        <v>372</v>
      </c>
      <c r="G51" s="12" t="s">
        <v>373</v>
      </c>
      <c r="H51" s="11" t="s">
        <v>374</v>
      </c>
      <c r="I51" s="11" t="s">
        <v>374</v>
      </c>
      <c r="J51" s="7"/>
      <c r="K51" s="7"/>
      <c r="L51" s="9" t="str">
        <f t="shared" si="2"/>
        <v>PASSED</v>
      </c>
    </row>
    <row r="52" spans="2:12" ht="93.5" customHeight="1" x14ac:dyDescent="0.35">
      <c r="B52" s="14" t="s">
        <v>375</v>
      </c>
      <c r="C52" s="11" t="s">
        <v>148</v>
      </c>
      <c r="D52" s="11" t="s">
        <v>376</v>
      </c>
      <c r="E52" s="11" t="s">
        <v>377</v>
      </c>
      <c r="F52" s="12" t="s">
        <v>378</v>
      </c>
      <c r="G52" s="11" t="s">
        <v>379</v>
      </c>
      <c r="H52" s="11" t="s">
        <v>380</v>
      </c>
      <c r="I52" s="11" t="s">
        <v>380</v>
      </c>
      <c r="J52" s="7"/>
      <c r="K52" s="7"/>
      <c r="L52" s="9" t="str">
        <f t="shared" si="2"/>
        <v>PASSED</v>
      </c>
    </row>
    <row r="53" spans="2:12" ht="124" customHeight="1" x14ac:dyDescent="0.35">
      <c r="B53" s="14" t="s">
        <v>381</v>
      </c>
      <c r="C53" s="11" t="s">
        <v>382</v>
      </c>
      <c r="D53" s="11" t="s">
        <v>167</v>
      </c>
      <c r="E53" s="11" t="s">
        <v>383</v>
      </c>
      <c r="F53" s="12" t="s">
        <v>384</v>
      </c>
      <c r="G53" s="11" t="s">
        <v>385</v>
      </c>
      <c r="H53" s="11" t="s">
        <v>386</v>
      </c>
      <c r="I53" s="11" t="s">
        <v>386</v>
      </c>
      <c r="J53" s="7"/>
      <c r="K53" s="7"/>
      <c r="L53" s="9" t="str">
        <f t="shared" si="2"/>
        <v>PASSED</v>
      </c>
    </row>
    <row r="54" spans="2:12" ht="107" customHeight="1" x14ac:dyDescent="0.35">
      <c r="B54" s="14" t="s">
        <v>387</v>
      </c>
      <c r="C54" s="11" t="s">
        <v>382</v>
      </c>
      <c r="D54" s="11" t="s">
        <v>186</v>
      </c>
      <c r="E54" s="11" t="s">
        <v>388</v>
      </c>
      <c r="F54" s="12" t="s">
        <v>389</v>
      </c>
      <c r="G54" s="11" t="s">
        <v>390</v>
      </c>
      <c r="H54" s="11" t="s">
        <v>391</v>
      </c>
      <c r="I54" s="11" t="s">
        <v>392</v>
      </c>
      <c r="J54" s="7"/>
      <c r="K54" s="7"/>
      <c r="L54" s="9" t="str">
        <f t="shared" si="2"/>
        <v>PASSED</v>
      </c>
    </row>
    <row r="55" spans="2:12" ht="107" customHeight="1" x14ac:dyDescent="0.35">
      <c r="B55" s="14" t="s">
        <v>393</v>
      </c>
      <c r="C55" s="11" t="s">
        <v>382</v>
      </c>
      <c r="D55" s="11" t="s">
        <v>186</v>
      </c>
      <c r="E55" s="11" t="s">
        <v>394</v>
      </c>
      <c r="F55" s="12" t="s">
        <v>395</v>
      </c>
      <c r="G55" s="11" t="s">
        <v>396</v>
      </c>
      <c r="H55" s="11" t="s">
        <v>397</v>
      </c>
      <c r="I55" s="11" t="s">
        <v>397</v>
      </c>
      <c r="J55" s="7"/>
      <c r="K55" s="7"/>
      <c r="L55" s="9" t="str">
        <f t="shared" si="2"/>
        <v>PASSED</v>
      </c>
    </row>
    <row r="56" spans="2:12" ht="112" customHeight="1" x14ac:dyDescent="0.35">
      <c r="B56" s="14" t="s">
        <v>398</v>
      </c>
      <c r="C56" s="11" t="s">
        <v>382</v>
      </c>
      <c r="D56" s="11" t="s">
        <v>186</v>
      </c>
      <c r="E56" s="11" t="s">
        <v>399</v>
      </c>
      <c r="F56" s="12" t="s">
        <v>400</v>
      </c>
      <c r="G56" s="11" t="s">
        <v>401</v>
      </c>
      <c r="H56" s="11" t="s">
        <v>402</v>
      </c>
      <c r="I56" s="11" t="s">
        <v>402</v>
      </c>
      <c r="J56" s="7"/>
      <c r="K56" s="7"/>
      <c r="L56" s="9" t="str">
        <f t="shared" si="2"/>
        <v>PASSED</v>
      </c>
    </row>
    <row r="57" spans="2:12" ht="117" customHeight="1" x14ac:dyDescent="0.35">
      <c r="B57" s="14" t="s">
        <v>403</v>
      </c>
      <c r="C57" s="11" t="s">
        <v>382</v>
      </c>
      <c r="D57" s="11" t="s">
        <v>198</v>
      </c>
      <c r="E57" s="11" t="s">
        <v>404</v>
      </c>
      <c r="F57" s="12" t="s">
        <v>405</v>
      </c>
      <c r="G57" s="11" t="s">
        <v>406</v>
      </c>
      <c r="H57" s="11" t="s">
        <v>407</v>
      </c>
      <c r="I57" s="11" t="s">
        <v>407</v>
      </c>
      <c r="J57" s="7"/>
      <c r="K57" s="7"/>
      <c r="L57" s="9" t="str">
        <f t="shared" si="2"/>
        <v>PASSED</v>
      </c>
    </row>
    <row r="58" spans="2:12" ht="124.5" customHeight="1" x14ac:dyDescent="0.35">
      <c r="B58" s="14" t="s">
        <v>408</v>
      </c>
      <c r="C58" s="11" t="s">
        <v>382</v>
      </c>
      <c r="D58" s="11" t="s">
        <v>409</v>
      </c>
      <c r="E58" s="11" t="s">
        <v>410</v>
      </c>
      <c r="F58" s="12" t="s">
        <v>411</v>
      </c>
      <c r="G58" s="11" t="s">
        <v>412</v>
      </c>
      <c r="H58" s="11" t="s">
        <v>413</v>
      </c>
      <c r="I58" s="11" t="s">
        <v>413</v>
      </c>
      <c r="J58" s="7"/>
      <c r="K58" s="7"/>
      <c r="L58" s="9" t="str">
        <f t="shared" si="2"/>
        <v>PASSED</v>
      </c>
    </row>
    <row r="59" spans="2:12" ht="112" customHeight="1" x14ac:dyDescent="0.35">
      <c r="B59" s="14" t="s">
        <v>414</v>
      </c>
      <c r="C59" s="11" t="s">
        <v>257</v>
      </c>
      <c r="D59" s="11" t="s">
        <v>167</v>
      </c>
      <c r="E59" s="11" t="s">
        <v>415</v>
      </c>
      <c r="F59" s="12" t="s">
        <v>416</v>
      </c>
      <c r="G59" s="11" t="s">
        <v>260</v>
      </c>
      <c r="H59" s="11" t="s">
        <v>417</v>
      </c>
      <c r="I59" s="11" t="s">
        <v>417</v>
      </c>
      <c r="J59" s="7"/>
      <c r="K59" s="7"/>
      <c r="L59" s="9" t="str">
        <f t="shared" si="2"/>
        <v>PASSED</v>
      </c>
    </row>
    <row r="60" spans="2:12" ht="107.5" customHeight="1" x14ac:dyDescent="0.35">
      <c r="B60" s="14" t="s">
        <v>418</v>
      </c>
      <c r="C60" s="11" t="s">
        <v>257</v>
      </c>
      <c r="D60" s="11" t="s">
        <v>186</v>
      </c>
      <c r="E60" s="11" t="s">
        <v>419</v>
      </c>
      <c r="F60" s="12" t="s">
        <v>420</v>
      </c>
      <c r="G60" s="11" t="s">
        <v>421</v>
      </c>
      <c r="H60" s="11" t="s">
        <v>422</v>
      </c>
      <c r="I60" s="11" t="s">
        <v>422</v>
      </c>
      <c r="J60" s="7"/>
      <c r="K60" s="7"/>
      <c r="L60" s="9" t="str">
        <f t="shared" si="2"/>
        <v>PASSED</v>
      </c>
    </row>
    <row r="61" spans="2:12" ht="110.5" customHeight="1" x14ac:dyDescent="0.35">
      <c r="B61" s="14" t="s">
        <v>423</v>
      </c>
      <c r="C61" s="11" t="s">
        <v>257</v>
      </c>
      <c r="D61" s="11" t="s">
        <v>186</v>
      </c>
      <c r="E61" s="11" t="s">
        <v>424</v>
      </c>
      <c r="F61" s="12" t="s">
        <v>425</v>
      </c>
      <c r="G61" s="11" t="s">
        <v>426</v>
      </c>
      <c r="H61" s="11" t="s">
        <v>427</v>
      </c>
      <c r="I61" s="11" t="s">
        <v>427</v>
      </c>
      <c r="J61" s="7"/>
      <c r="K61" s="7"/>
      <c r="L61" s="9" t="str">
        <f t="shared" si="2"/>
        <v>PASSED</v>
      </c>
    </row>
    <row r="62" spans="2:12" ht="113" customHeight="1" x14ac:dyDescent="0.35">
      <c r="B62" s="14" t="s">
        <v>428</v>
      </c>
      <c r="C62" s="11" t="s">
        <v>257</v>
      </c>
      <c r="D62" s="11" t="s">
        <v>186</v>
      </c>
      <c r="E62" s="11" t="s">
        <v>429</v>
      </c>
      <c r="F62" s="12" t="s">
        <v>430</v>
      </c>
      <c r="G62" s="11" t="s">
        <v>431</v>
      </c>
      <c r="H62" s="11" t="s">
        <v>432</v>
      </c>
      <c r="I62" s="11" t="s">
        <v>432</v>
      </c>
      <c r="J62" s="7"/>
      <c r="K62" s="7"/>
      <c r="L62" s="9" t="str">
        <f t="shared" si="2"/>
        <v>PASSED</v>
      </c>
    </row>
    <row r="63" spans="2:12" ht="113" customHeight="1" x14ac:dyDescent="0.35">
      <c r="B63" s="14" t="s">
        <v>433</v>
      </c>
      <c r="C63" s="11" t="s">
        <v>434</v>
      </c>
      <c r="D63" s="11" t="s">
        <v>186</v>
      </c>
      <c r="E63" s="11" t="s">
        <v>435</v>
      </c>
      <c r="F63" s="12" t="s">
        <v>436</v>
      </c>
      <c r="G63" s="11" t="s">
        <v>437</v>
      </c>
      <c r="H63" s="11" t="s">
        <v>438</v>
      </c>
      <c r="I63" s="11" t="s">
        <v>438</v>
      </c>
      <c r="J63" s="7"/>
      <c r="K63" s="7"/>
      <c r="L63" s="9" t="str">
        <f t="shared" si="2"/>
        <v>PASSED</v>
      </c>
    </row>
    <row r="64" spans="2:12" ht="110.5" customHeight="1" x14ac:dyDescent="0.35">
      <c r="B64" s="14" t="s">
        <v>439</v>
      </c>
      <c r="C64" s="11" t="s">
        <v>440</v>
      </c>
      <c r="D64" s="11" t="s">
        <v>167</v>
      </c>
      <c r="E64" s="11" t="s">
        <v>441</v>
      </c>
      <c r="F64" s="12" t="s">
        <v>442</v>
      </c>
      <c r="G64" s="11" t="s">
        <v>443</v>
      </c>
      <c r="H64" s="11" t="s">
        <v>444</v>
      </c>
      <c r="I64" s="11" t="s">
        <v>444</v>
      </c>
      <c r="J64" s="7"/>
      <c r="K64" s="7"/>
      <c r="L64" s="9" t="str">
        <f t="shared" si="2"/>
        <v>PASSED</v>
      </c>
    </row>
    <row r="65" spans="1:12" ht="106" customHeight="1" x14ac:dyDescent="0.35">
      <c r="B65" s="14" t="s">
        <v>445</v>
      </c>
      <c r="C65" s="11" t="s">
        <v>440</v>
      </c>
      <c r="D65" s="11" t="s">
        <v>167</v>
      </c>
      <c r="E65" s="11" t="s">
        <v>446</v>
      </c>
      <c r="F65" s="12" t="s">
        <v>447</v>
      </c>
      <c r="G65" s="11" t="s">
        <v>448</v>
      </c>
      <c r="H65" s="11" t="s">
        <v>449</v>
      </c>
      <c r="I65" s="11" t="s">
        <v>449</v>
      </c>
      <c r="J65" s="7"/>
      <c r="K65" s="7"/>
      <c r="L65" s="9" t="str">
        <f t="shared" si="2"/>
        <v>PASSED</v>
      </c>
    </row>
    <row r="66" spans="1:12" ht="108" customHeight="1" x14ac:dyDescent="0.35">
      <c r="B66" s="14" t="s">
        <v>450</v>
      </c>
      <c r="C66" s="11" t="s">
        <v>440</v>
      </c>
      <c r="D66" s="11" t="s">
        <v>186</v>
      </c>
      <c r="E66" s="11" t="s">
        <v>451</v>
      </c>
      <c r="F66" s="12" t="s">
        <v>452</v>
      </c>
      <c r="G66" s="11" t="s">
        <v>453</v>
      </c>
      <c r="H66" s="17" t="s">
        <v>454</v>
      </c>
      <c r="I66" s="17" t="s">
        <v>454</v>
      </c>
      <c r="J66" s="7"/>
      <c r="K66" s="7"/>
      <c r="L66" s="9" t="str">
        <f t="shared" si="2"/>
        <v>PASSED</v>
      </c>
    </row>
    <row r="67" spans="1:12" ht="112.5" customHeight="1" x14ac:dyDescent="0.35">
      <c r="A67" t="s">
        <v>455</v>
      </c>
      <c r="B67" s="14" t="s">
        <v>456</v>
      </c>
      <c r="C67" s="11" t="s">
        <v>440</v>
      </c>
      <c r="D67" s="11" t="s">
        <v>173</v>
      </c>
      <c r="E67" s="11" t="s">
        <v>457</v>
      </c>
      <c r="F67" s="12" t="s">
        <v>458</v>
      </c>
      <c r="G67" s="11" t="s">
        <v>459</v>
      </c>
      <c r="H67" s="11" t="s">
        <v>460</v>
      </c>
      <c r="I67" s="11" t="s">
        <v>460</v>
      </c>
      <c r="J67" s="7"/>
      <c r="K67" s="7"/>
      <c r="L67" s="9" t="str">
        <f t="shared" si="2"/>
        <v>PASSED</v>
      </c>
    </row>
    <row r="68" spans="1:12" ht="110.5" customHeight="1" x14ac:dyDescent="0.35">
      <c r="B68" s="14" t="s">
        <v>461</v>
      </c>
      <c r="C68" s="11" t="s">
        <v>462</v>
      </c>
      <c r="D68" s="11" t="s">
        <v>167</v>
      </c>
      <c r="E68" s="11" t="s">
        <v>463</v>
      </c>
      <c r="F68" s="12" t="s">
        <v>464</v>
      </c>
      <c r="G68" s="11" t="s">
        <v>465</v>
      </c>
      <c r="H68" s="11" t="s">
        <v>466</v>
      </c>
      <c r="I68" s="11" t="s">
        <v>466</v>
      </c>
      <c r="J68" s="7"/>
      <c r="K68" s="7"/>
      <c r="L68" s="9" t="str">
        <f t="shared" si="2"/>
        <v>PASSED</v>
      </c>
    </row>
    <row r="69" spans="1:12" ht="125" customHeight="1" x14ac:dyDescent="0.35">
      <c r="B69" s="14" t="s">
        <v>467</v>
      </c>
      <c r="C69" s="11" t="s">
        <v>462</v>
      </c>
      <c r="D69" s="11" t="s">
        <v>186</v>
      </c>
      <c r="E69" s="11" t="s">
        <v>468</v>
      </c>
      <c r="F69" s="12" t="s">
        <v>469</v>
      </c>
      <c r="G69" s="11" t="s">
        <v>470</v>
      </c>
      <c r="H69" s="11" t="s">
        <v>471</v>
      </c>
      <c r="I69" s="11" t="s">
        <v>471</v>
      </c>
      <c r="J69" s="7"/>
      <c r="K69" s="7"/>
      <c r="L69" s="9" t="str">
        <f t="shared" si="2"/>
        <v>PASSED</v>
      </c>
    </row>
    <row r="70" spans="1:12" ht="89" customHeight="1" x14ac:dyDescent="0.35">
      <c r="B70" s="14" t="s">
        <v>472</v>
      </c>
      <c r="C70" s="11" t="s">
        <v>462</v>
      </c>
      <c r="D70" s="11" t="s">
        <v>186</v>
      </c>
      <c r="E70" s="11" t="s">
        <v>473</v>
      </c>
      <c r="F70" s="12" t="s">
        <v>474</v>
      </c>
      <c r="G70" s="11" t="s">
        <v>475</v>
      </c>
      <c r="H70" s="11" t="s">
        <v>476</v>
      </c>
      <c r="I70" s="11" t="s">
        <v>476</v>
      </c>
      <c r="J70" s="7"/>
      <c r="K70" s="7"/>
      <c r="L70" s="9" t="str">
        <f t="shared" si="2"/>
        <v>PASSED</v>
      </c>
    </row>
    <row r="71" spans="1:12" ht="122.5" customHeight="1" x14ac:dyDescent="0.35">
      <c r="B71" s="14" t="s">
        <v>477</v>
      </c>
      <c r="C71" s="11" t="s">
        <v>462</v>
      </c>
      <c r="D71" s="11" t="s">
        <v>186</v>
      </c>
      <c r="E71" s="12" t="s">
        <v>478</v>
      </c>
      <c r="F71" s="12" t="s">
        <v>479</v>
      </c>
      <c r="G71" s="11" t="s">
        <v>480</v>
      </c>
      <c r="H71" s="11" t="s">
        <v>471</v>
      </c>
      <c r="I71" s="11" t="s">
        <v>471</v>
      </c>
      <c r="J71" s="7"/>
      <c r="K71" s="7"/>
      <c r="L71" s="9" t="str">
        <f t="shared" si="2"/>
        <v>PASSED</v>
      </c>
    </row>
    <row r="72" spans="1:12" ht="124" customHeight="1" x14ac:dyDescent="0.35">
      <c r="B72" s="14" t="s">
        <v>481</v>
      </c>
      <c r="C72" s="11" t="s">
        <v>313</v>
      </c>
      <c r="D72" s="11" t="s">
        <v>293</v>
      </c>
      <c r="E72" s="11" t="s">
        <v>482</v>
      </c>
      <c r="F72" s="12" t="s">
        <v>483</v>
      </c>
      <c r="G72" s="11" t="s">
        <v>484</v>
      </c>
      <c r="H72" s="11" t="s">
        <v>485</v>
      </c>
      <c r="I72" s="11" t="s">
        <v>485</v>
      </c>
      <c r="J72" s="7"/>
      <c r="K72" s="7"/>
      <c r="L72" s="9" t="str">
        <f t="shared" si="2"/>
        <v>PASSED</v>
      </c>
    </row>
    <row r="73" spans="1:12" ht="107.5" customHeight="1" x14ac:dyDescent="0.35">
      <c r="B73" s="14" t="s">
        <v>486</v>
      </c>
      <c r="C73" s="11" t="s">
        <v>313</v>
      </c>
      <c r="D73" s="11" t="s">
        <v>293</v>
      </c>
      <c r="E73" s="11" t="s">
        <v>487</v>
      </c>
      <c r="F73" s="12" t="s">
        <v>488</v>
      </c>
      <c r="G73" s="11" t="s">
        <v>489</v>
      </c>
      <c r="H73" s="11" t="s">
        <v>490</v>
      </c>
      <c r="I73" s="11" t="s">
        <v>490</v>
      </c>
      <c r="J73" s="7"/>
      <c r="K73" s="7"/>
      <c r="L73" s="9" t="str">
        <f t="shared" si="2"/>
        <v>PASSED</v>
      </c>
    </row>
    <row r="74" spans="1:12" ht="96.5" customHeight="1" x14ac:dyDescent="0.35">
      <c r="B74" s="14" t="s">
        <v>491</v>
      </c>
      <c r="C74" s="11" t="s">
        <v>492</v>
      </c>
      <c r="D74" s="11" t="s">
        <v>173</v>
      </c>
      <c r="E74" s="11" t="s">
        <v>493</v>
      </c>
      <c r="F74" s="12" t="s">
        <v>494</v>
      </c>
      <c r="G74" s="11" t="s">
        <v>224</v>
      </c>
      <c r="H74" s="11" t="s">
        <v>495</v>
      </c>
      <c r="I74" s="11" t="s">
        <v>495</v>
      </c>
      <c r="J74" s="7"/>
      <c r="K74" s="7"/>
      <c r="L74" s="9" t="str">
        <f t="shared" si="2"/>
        <v>PASSED</v>
      </c>
    </row>
    <row r="75" spans="1:12" ht="119" customHeight="1" x14ac:dyDescent="0.35">
      <c r="B75" s="14" t="s">
        <v>496</v>
      </c>
      <c r="C75" s="11" t="s">
        <v>497</v>
      </c>
      <c r="D75" s="11" t="s">
        <v>216</v>
      </c>
      <c r="E75" s="11" t="s">
        <v>498</v>
      </c>
      <c r="F75" s="12" t="s">
        <v>499</v>
      </c>
      <c r="G75" s="12" t="s">
        <v>500</v>
      </c>
      <c r="H75" s="12" t="s">
        <v>501</v>
      </c>
      <c r="I75" s="12" t="s">
        <v>501</v>
      </c>
      <c r="J75" s="7"/>
      <c r="K75" s="7"/>
      <c r="L75" s="9" t="str">
        <f t="shared" si="2"/>
        <v>PASSED</v>
      </c>
    </row>
    <row r="76" spans="1:12" ht="99" customHeight="1" x14ac:dyDescent="0.35">
      <c r="B76" s="14" t="s">
        <v>502</v>
      </c>
      <c r="C76" s="11" t="s">
        <v>497</v>
      </c>
      <c r="D76" s="11" t="s">
        <v>216</v>
      </c>
      <c r="E76" s="11" t="s">
        <v>503</v>
      </c>
      <c r="F76" s="12" t="s">
        <v>504</v>
      </c>
      <c r="G76" s="12" t="s">
        <v>505</v>
      </c>
      <c r="H76" s="12" t="s">
        <v>506</v>
      </c>
      <c r="I76" s="12" t="s">
        <v>506</v>
      </c>
      <c r="J76" s="7"/>
      <c r="K76" s="7"/>
      <c r="L76" s="9" t="str">
        <f t="shared" si="2"/>
        <v>PASSED</v>
      </c>
    </row>
    <row r="77" spans="1:12" ht="140" customHeight="1" x14ac:dyDescent="0.35">
      <c r="B77" s="14" t="s">
        <v>507</v>
      </c>
      <c r="C77" s="11" t="s">
        <v>497</v>
      </c>
      <c r="D77" s="11" t="s">
        <v>173</v>
      </c>
      <c r="E77" s="12" t="s">
        <v>508</v>
      </c>
      <c r="F77" s="12" t="s">
        <v>509</v>
      </c>
      <c r="G77" s="11" t="s">
        <v>510</v>
      </c>
      <c r="H77" s="11" t="s">
        <v>511</v>
      </c>
      <c r="I77" s="11" t="s">
        <v>511</v>
      </c>
      <c r="J77" s="7"/>
      <c r="K77" s="7"/>
      <c r="L77" s="9" t="str">
        <f t="shared" si="2"/>
        <v>PASSED</v>
      </c>
    </row>
    <row r="78" spans="1:12" ht="105" customHeight="1" x14ac:dyDescent="0.35">
      <c r="B78" s="14" t="s">
        <v>512</v>
      </c>
      <c r="C78" s="11" t="s">
        <v>232</v>
      </c>
      <c r="D78" s="11" t="s">
        <v>233</v>
      </c>
      <c r="E78" s="11" t="s">
        <v>513</v>
      </c>
      <c r="F78" s="12" t="s">
        <v>514</v>
      </c>
      <c r="G78" s="11" t="s">
        <v>515</v>
      </c>
      <c r="H78" s="11" t="s">
        <v>516</v>
      </c>
      <c r="I78" s="11" t="s">
        <v>516</v>
      </c>
      <c r="J78" s="7"/>
      <c r="K78" s="7"/>
      <c r="L78" s="9" t="str">
        <f t="shared" si="2"/>
        <v>PASSED</v>
      </c>
    </row>
    <row r="79" spans="1:12" ht="104" customHeight="1" x14ac:dyDescent="0.35">
      <c r="B79" s="14" t="s">
        <v>517</v>
      </c>
      <c r="C79" s="11" t="s">
        <v>232</v>
      </c>
      <c r="D79" s="11" t="s">
        <v>233</v>
      </c>
      <c r="E79" s="12" t="s">
        <v>518</v>
      </c>
      <c r="F79" s="12" t="s">
        <v>519</v>
      </c>
      <c r="G79" s="11" t="s">
        <v>520</v>
      </c>
      <c r="H79" s="11" t="s">
        <v>521</v>
      </c>
      <c r="I79" s="11" t="s">
        <v>521</v>
      </c>
      <c r="J79" s="7"/>
      <c r="K79" s="7"/>
      <c r="L79" s="9" t="str">
        <f t="shared" si="2"/>
        <v>PASSED</v>
      </c>
    </row>
    <row r="80" spans="1:12" ht="107" customHeight="1" x14ac:dyDescent="0.35">
      <c r="B80" s="14" t="s">
        <v>522</v>
      </c>
      <c r="C80" s="11" t="s">
        <v>523</v>
      </c>
      <c r="D80" s="11" t="s">
        <v>524</v>
      </c>
      <c r="E80" s="11" t="s">
        <v>525</v>
      </c>
      <c r="F80" s="12" t="s">
        <v>526</v>
      </c>
      <c r="G80" s="11" t="s">
        <v>527</v>
      </c>
      <c r="H80" s="11" t="s">
        <v>528</v>
      </c>
      <c r="I80" s="12" t="s">
        <v>529</v>
      </c>
      <c r="J80" s="76" t="s">
        <v>530</v>
      </c>
      <c r="K80" s="7"/>
      <c r="L80" s="9" t="str">
        <f t="shared" si="2"/>
        <v>FAILED</v>
      </c>
    </row>
    <row r="81" spans="2:12" x14ac:dyDescent="0.35">
      <c r="B81" s="6"/>
      <c r="C81" s="7"/>
      <c r="D81" s="7"/>
      <c r="E81" s="8"/>
      <c r="F81" s="8"/>
      <c r="G81" s="8"/>
      <c r="H81" s="8"/>
      <c r="I81" s="8"/>
      <c r="J81" s="7"/>
      <c r="K81" s="7"/>
      <c r="L81" s="9"/>
    </row>
    <row r="82" spans="2:12" ht="42" customHeight="1" x14ac:dyDescent="0.35">
      <c r="B82" s="54" t="s">
        <v>1332</v>
      </c>
      <c r="C82" s="50"/>
      <c r="D82" s="50"/>
      <c r="E82" s="50"/>
      <c r="F82" s="50"/>
      <c r="G82" s="50"/>
      <c r="H82" s="50"/>
      <c r="I82" s="50"/>
      <c r="J82" s="50"/>
      <c r="K82" s="50"/>
      <c r="L82" s="50"/>
    </row>
    <row r="83" spans="2:12" ht="135.5" customHeight="1" x14ac:dyDescent="0.35">
      <c r="B83" s="14" t="s">
        <v>532</v>
      </c>
      <c r="C83" s="11" t="s">
        <v>533</v>
      </c>
      <c r="D83" s="11" t="s">
        <v>534</v>
      </c>
      <c r="E83" s="11" t="s">
        <v>535</v>
      </c>
      <c r="F83" s="12" t="s">
        <v>536</v>
      </c>
      <c r="G83" s="11" t="s">
        <v>531</v>
      </c>
      <c r="H83" s="11" t="s">
        <v>538</v>
      </c>
      <c r="I83" s="11" t="s">
        <v>538</v>
      </c>
      <c r="J83" s="13"/>
      <c r="K83" s="13"/>
      <c r="L83" s="14" t="str">
        <f t="shared" ref="L83:L106" si="3">IF(EXACT(TRIM(H83), TRIM(I83)), "PASSED", "FAILED")</f>
        <v>PASSED</v>
      </c>
    </row>
    <row r="84" spans="2:12" ht="107" customHeight="1" x14ac:dyDescent="0.35">
      <c r="B84" s="14" t="s">
        <v>539</v>
      </c>
      <c r="C84" s="11" t="s">
        <v>533</v>
      </c>
      <c r="D84" s="11" t="s">
        <v>534</v>
      </c>
      <c r="E84" s="11" t="s">
        <v>540</v>
      </c>
      <c r="F84" s="12" t="s">
        <v>541</v>
      </c>
      <c r="G84" s="11" t="s">
        <v>537</v>
      </c>
      <c r="H84" s="11" t="s">
        <v>543</v>
      </c>
      <c r="I84" s="11" t="s">
        <v>543</v>
      </c>
      <c r="J84" s="13"/>
      <c r="K84" s="13"/>
      <c r="L84" s="14" t="str">
        <f t="shared" si="3"/>
        <v>PASSED</v>
      </c>
    </row>
    <row r="85" spans="2:12" ht="105.5" customHeight="1" x14ac:dyDescent="0.35">
      <c r="B85" s="14" t="s">
        <v>544</v>
      </c>
      <c r="C85" s="11" t="s">
        <v>533</v>
      </c>
      <c r="D85" s="11" t="s">
        <v>534</v>
      </c>
      <c r="E85" s="11" t="s">
        <v>545</v>
      </c>
      <c r="F85" s="12" t="s">
        <v>546</v>
      </c>
      <c r="G85" s="11" t="s">
        <v>542</v>
      </c>
      <c r="H85" s="11" t="s">
        <v>548</v>
      </c>
      <c r="I85" s="11" t="s">
        <v>548</v>
      </c>
      <c r="J85" s="13"/>
      <c r="K85" s="13"/>
      <c r="L85" s="14" t="str">
        <f t="shared" si="3"/>
        <v>PASSED</v>
      </c>
    </row>
    <row r="86" spans="2:12" ht="155" customHeight="1" x14ac:dyDescent="0.35">
      <c r="B86" s="14" t="s">
        <v>549</v>
      </c>
      <c r="C86" s="11" t="s">
        <v>533</v>
      </c>
      <c r="D86" s="11" t="s">
        <v>534</v>
      </c>
      <c r="E86" s="11" t="s">
        <v>550</v>
      </c>
      <c r="F86" s="12" t="s">
        <v>551</v>
      </c>
      <c r="G86" s="11" t="s">
        <v>547</v>
      </c>
      <c r="H86" s="11" t="s">
        <v>553</v>
      </c>
      <c r="I86" s="11" t="s">
        <v>553</v>
      </c>
      <c r="J86" s="13"/>
      <c r="K86" s="13"/>
      <c r="L86" s="14" t="str">
        <f t="shared" si="3"/>
        <v>PASSED</v>
      </c>
    </row>
    <row r="87" spans="2:12" ht="110" customHeight="1" x14ac:dyDescent="0.35">
      <c r="B87" s="14" t="s">
        <v>554</v>
      </c>
      <c r="C87" s="11" t="s">
        <v>533</v>
      </c>
      <c r="D87" s="11" t="s">
        <v>534</v>
      </c>
      <c r="E87" s="11" t="s">
        <v>555</v>
      </c>
      <c r="F87" s="12" t="s">
        <v>556</v>
      </c>
      <c r="G87" s="11" t="s">
        <v>552</v>
      </c>
      <c r="H87" s="11" t="s">
        <v>558</v>
      </c>
      <c r="I87" s="11" t="s">
        <v>558</v>
      </c>
      <c r="J87" s="13"/>
      <c r="K87" s="13"/>
      <c r="L87" s="14" t="str">
        <f t="shared" si="3"/>
        <v>PASSED</v>
      </c>
    </row>
    <row r="88" spans="2:12" ht="133" customHeight="1" x14ac:dyDescent="0.35">
      <c r="B88" s="14" t="s">
        <v>559</v>
      </c>
      <c r="C88" s="11" t="s">
        <v>533</v>
      </c>
      <c r="D88" s="11" t="s">
        <v>534</v>
      </c>
      <c r="E88" s="11" t="s">
        <v>560</v>
      </c>
      <c r="F88" s="12" t="s">
        <v>561</v>
      </c>
      <c r="G88" s="11" t="s">
        <v>557</v>
      </c>
      <c r="H88" s="11" t="s">
        <v>563</v>
      </c>
      <c r="I88" s="11" t="s">
        <v>563</v>
      </c>
      <c r="J88" s="13"/>
      <c r="K88" s="13"/>
      <c r="L88" s="14" t="str">
        <f t="shared" si="3"/>
        <v>PASSED</v>
      </c>
    </row>
    <row r="89" spans="2:12" ht="115" customHeight="1" x14ac:dyDescent="0.35">
      <c r="B89" s="14" t="s">
        <v>564</v>
      </c>
      <c r="C89" s="11" t="s">
        <v>533</v>
      </c>
      <c r="D89" s="11" t="s">
        <v>534</v>
      </c>
      <c r="E89" s="11" t="s">
        <v>565</v>
      </c>
      <c r="F89" s="12" t="s">
        <v>566</v>
      </c>
      <c r="G89" s="11" t="s">
        <v>562</v>
      </c>
      <c r="H89" s="11" t="s">
        <v>568</v>
      </c>
      <c r="I89" s="11" t="s">
        <v>568</v>
      </c>
      <c r="J89" s="13"/>
      <c r="K89" s="13"/>
      <c r="L89" s="14" t="str">
        <f t="shared" si="3"/>
        <v>PASSED</v>
      </c>
    </row>
    <row r="90" spans="2:12" ht="125" customHeight="1" x14ac:dyDescent="0.35">
      <c r="B90" s="14" t="s">
        <v>569</v>
      </c>
      <c r="C90" s="11" t="s">
        <v>533</v>
      </c>
      <c r="D90" s="11" t="s">
        <v>534</v>
      </c>
      <c r="E90" s="11" t="s">
        <v>570</v>
      </c>
      <c r="F90" s="12" t="s">
        <v>571</v>
      </c>
      <c r="G90" s="11" t="s">
        <v>567</v>
      </c>
      <c r="H90" s="11" t="s">
        <v>573</v>
      </c>
      <c r="I90" s="11" t="s">
        <v>573</v>
      </c>
      <c r="J90" s="13"/>
      <c r="K90" s="13"/>
      <c r="L90" s="14" t="str">
        <f t="shared" si="3"/>
        <v>PASSED</v>
      </c>
    </row>
    <row r="91" spans="2:12" ht="111" customHeight="1" x14ac:dyDescent="0.35">
      <c r="B91" s="14" t="s">
        <v>574</v>
      </c>
      <c r="C91" s="11" t="s">
        <v>533</v>
      </c>
      <c r="D91" s="11" t="s">
        <v>534</v>
      </c>
      <c r="E91" s="11" t="s">
        <v>575</v>
      </c>
      <c r="F91" s="12" t="s">
        <v>576</v>
      </c>
      <c r="G91" s="11" t="s">
        <v>572</v>
      </c>
      <c r="H91" s="11" t="s">
        <v>577</v>
      </c>
      <c r="I91" s="11" t="s">
        <v>577</v>
      </c>
      <c r="J91" s="13"/>
      <c r="K91" s="13"/>
      <c r="L91" s="14" t="str">
        <f t="shared" si="3"/>
        <v>PASSED</v>
      </c>
    </row>
    <row r="92" spans="2:12" ht="137.5" customHeight="1" x14ac:dyDescent="0.35">
      <c r="B92" s="14" t="s">
        <v>578</v>
      </c>
      <c r="C92" s="11" t="s">
        <v>533</v>
      </c>
      <c r="D92" s="11" t="s">
        <v>534</v>
      </c>
      <c r="E92" s="11" t="s">
        <v>579</v>
      </c>
      <c r="F92" s="12" t="s">
        <v>580</v>
      </c>
      <c r="G92" s="11" t="s">
        <v>1336</v>
      </c>
      <c r="H92" s="11" t="s">
        <v>582</v>
      </c>
      <c r="I92" s="11" t="s">
        <v>582</v>
      </c>
      <c r="J92" s="13"/>
      <c r="K92" s="13"/>
      <c r="L92" s="14" t="str">
        <f t="shared" si="3"/>
        <v>PASSED</v>
      </c>
    </row>
    <row r="93" spans="2:12" ht="120" customHeight="1" x14ac:dyDescent="0.35">
      <c r="B93" s="14" t="s">
        <v>583</v>
      </c>
      <c r="C93" s="11" t="s">
        <v>533</v>
      </c>
      <c r="D93" s="11" t="s">
        <v>534</v>
      </c>
      <c r="E93" s="11" t="s">
        <v>584</v>
      </c>
      <c r="F93" s="12" t="s">
        <v>585</v>
      </c>
      <c r="G93" s="11" t="s">
        <v>581</v>
      </c>
      <c r="H93" s="11" t="s">
        <v>587</v>
      </c>
      <c r="I93" s="11" t="s">
        <v>587</v>
      </c>
      <c r="J93" s="13"/>
      <c r="K93" s="13"/>
      <c r="L93" s="14" t="str">
        <f t="shared" si="3"/>
        <v>PASSED</v>
      </c>
    </row>
    <row r="94" spans="2:12" ht="110" customHeight="1" x14ac:dyDescent="0.35">
      <c r="B94" s="14" t="s">
        <v>588</v>
      </c>
      <c r="C94" s="11" t="s">
        <v>533</v>
      </c>
      <c r="D94" s="11" t="s">
        <v>534</v>
      </c>
      <c r="E94" s="11" t="s">
        <v>589</v>
      </c>
      <c r="F94" s="15" t="s">
        <v>590</v>
      </c>
      <c r="G94" s="11" t="s">
        <v>586</v>
      </c>
      <c r="H94" s="11" t="s">
        <v>592</v>
      </c>
      <c r="I94" s="11" t="s">
        <v>592</v>
      </c>
      <c r="J94" s="13"/>
      <c r="K94" s="13"/>
      <c r="L94" s="14" t="str">
        <f t="shared" si="3"/>
        <v>PASSED</v>
      </c>
    </row>
    <row r="95" spans="2:12" ht="114.5" customHeight="1" x14ac:dyDescent="0.35">
      <c r="B95" s="14" t="s">
        <v>593</v>
      </c>
      <c r="C95" s="11" t="s">
        <v>533</v>
      </c>
      <c r="D95" s="11" t="s">
        <v>534</v>
      </c>
      <c r="E95" s="11" t="s">
        <v>594</v>
      </c>
      <c r="F95" s="15" t="s">
        <v>595</v>
      </c>
      <c r="G95" s="11" t="s">
        <v>591</v>
      </c>
      <c r="H95" s="11" t="s">
        <v>597</v>
      </c>
      <c r="I95" s="11" t="s">
        <v>597</v>
      </c>
      <c r="J95" s="13"/>
      <c r="K95" s="13"/>
      <c r="L95" s="14" t="str">
        <f t="shared" si="3"/>
        <v>PASSED</v>
      </c>
    </row>
    <row r="96" spans="2:12" ht="116" customHeight="1" x14ac:dyDescent="0.35">
      <c r="B96" s="14" t="s">
        <v>598</v>
      </c>
      <c r="C96" s="11" t="s">
        <v>533</v>
      </c>
      <c r="D96" s="11" t="s">
        <v>534</v>
      </c>
      <c r="E96" s="11" t="s">
        <v>599</v>
      </c>
      <c r="F96" s="12" t="s">
        <v>600</v>
      </c>
      <c r="G96" s="11" t="s">
        <v>596</v>
      </c>
      <c r="H96" s="11" t="s">
        <v>602</v>
      </c>
      <c r="I96" s="11" t="s">
        <v>602</v>
      </c>
      <c r="J96" s="13"/>
      <c r="K96" s="13"/>
      <c r="L96" s="14" t="str">
        <f t="shared" si="3"/>
        <v>PASSED</v>
      </c>
    </row>
    <row r="97" spans="2:12" ht="123.5" customHeight="1" x14ac:dyDescent="0.35">
      <c r="B97" s="14" t="s">
        <v>603</v>
      </c>
      <c r="C97" s="11" t="s">
        <v>533</v>
      </c>
      <c r="D97" s="11" t="s">
        <v>534</v>
      </c>
      <c r="E97" s="11" t="s">
        <v>604</v>
      </c>
      <c r="F97" s="12" t="s">
        <v>605</v>
      </c>
      <c r="G97" s="11" t="s">
        <v>601</v>
      </c>
      <c r="H97" s="11" t="s">
        <v>607</v>
      </c>
      <c r="I97" s="11" t="s">
        <v>607</v>
      </c>
      <c r="J97" s="13"/>
      <c r="K97" s="13"/>
      <c r="L97" s="14" t="str">
        <f t="shared" si="3"/>
        <v>PASSED</v>
      </c>
    </row>
    <row r="98" spans="2:12" ht="132.5" customHeight="1" x14ac:dyDescent="0.35">
      <c r="B98" s="14" t="s">
        <v>608</v>
      </c>
      <c r="C98" s="11" t="s">
        <v>533</v>
      </c>
      <c r="D98" s="11" t="s">
        <v>534</v>
      </c>
      <c r="E98" s="11" t="s">
        <v>609</v>
      </c>
      <c r="F98" s="12" t="s">
        <v>610</v>
      </c>
      <c r="G98" s="11" t="s">
        <v>606</v>
      </c>
      <c r="H98" s="11" t="s">
        <v>612</v>
      </c>
      <c r="I98" s="11" t="s">
        <v>612</v>
      </c>
      <c r="J98" s="13"/>
      <c r="K98" s="13"/>
      <c r="L98" s="14" t="str">
        <f t="shared" si="3"/>
        <v>PASSED</v>
      </c>
    </row>
    <row r="99" spans="2:12" ht="107.5" customHeight="1" x14ac:dyDescent="0.35">
      <c r="B99" s="14" t="s">
        <v>613</v>
      </c>
      <c r="C99" s="11" t="s">
        <v>533</v>
      </c>
      <c r="D99" s="11" t="s">
        <v>534</v>
      </c>
      <c r="E99" s="11" t="s">
        <v>614</v>
      </c>
      <c r="F99" s="12" t="s">
        <v>615</v>
      </c>
      <c r="G99" s="11" t="s">
        <v>611</v>
      </c>
      <c r="H99" s="11" t="s">
        <v>617</v>
      </c>
      <c r="I99" s="11" t="s">
        <v>617</v>
      </c>
      <c r="J99" s="13"/>
      <c r="K99" s="13"/>
      <c r="L99" s="14" t="str">
        <f t="shared" si="3"/>
        <v>PASSED</v>
      </c>
    </row>
    <row r="100" spans="2:12" ht="137" customHeight="1" x14ac:dyDescent="0.35">
      <c r="B100" s="14" t="s">
        <v>618</v>
      </c>
      <c r="C100" s="11" t="s">
        <v>533</v>
      </c>
      <c r="D100" s="11" t="s">
        <v>534</v>
      </c>
      <c r="E100" s="11" t="s">
        <v>619</v>
      </c>
      <c r="F100" s="12" t="s">
        <v>620</v>
      </c>
      <c r="G100" s="11" t="s">
        <v>616</v>
      </c>
      <c r="H100" s="11" t="s">
        <v>622</v>
      </c>
      <c r="I100" s="11" t="s">
        <v>622</v>
      </c>
      <c r="J100" s="13"/>
      <c r="K100" s="13"/>
      <c r="L100" s="14" t="str">
        <f t="shared" si="3"/>
        <v>PASSED</v>
      </c>
    </row>
    <row r="101" spans="2:12" ht="114" customHeight="1" x14ac:dyDescent="0.35">
      <c r="B101" s="14" t="s">
        <v>623</v>
      </c>
      <c r="C101" s="11" t="s">
        <v>533</v>
      </c>
      <c r="D101" s="11" t="s">
        <v>534</v>
      </c>
      <c r="E101" s="11" t="s">
        <v>624</v>
      </c>
      <c r="F101" s="12" t="s">
        <v>625</v>
      </c>
      <c r="G101" s="11" t="s">
        <v>621</v>
      </c>
      <c r="H101" s="11" t="s">
        <v>627</v>
      </c>
      <c r="I101" s="11" t="s">
        <v>627</v>
      </c>
      <c r="J101" s="13"/>
      <c r="K101" s="13"/>
      <c r="L101" s="14" t="str">
        <f t="shared" si="3"/>
        <v>PASSED</v>
      </c>
    </row>
    <row r="102" spans="2:12" ht="124" customHeight="1" x14ac:dyDescent="0.35">
      <c r="B102" s="14" t="s">
        <v>628</v>
      </c>
      <c r="C102" s="11" t="s">
        <v>533</v>
      </c>
      <c r="D102" s="11" t="s">
        <v>534</v>
      </c>
      <c r="E102" s="11" t="s">
        <v>629</v>
      </c>
      <c r="F102" s="12" t="s">
        <v>630</v>
      </c>
      <c r="G102" s="11" t="s">
        <v>626</v>
      </c>
      <c r="H102" s="11" t="s">
        <v>632</v>
      </c>
      <c r="I102" s="11" t="s">
        <v>632</v>
      </c>
      <c r="J102" s="13"/>
      <c r="K102" s="13"/>
      <c r="L102" s="14" t="str">
        <f t="shared" si="3"/>
        <v>PASSED</v>
      </c>
    </row>
    <row r="103" spans="2:12" ht="106" customHeight="1" x14ac:dyDescent="0.35">
      <c r="B103" s="14" t="s">
        <v>633</v>
      </c>
      <c r="C103" s="11" t="s">
        <v>533</v>
      </c>
      <c r="D103" s="11" t="s">
        <v>534</v>
      </c>
      <c r="E103" s="11" t="s">
        <v>634</v>
      </c>
      <c r="F103" s="12" t="s">
        <v>635</v>
      </c>
      <c r="G103" s="11" t="s">
        <v>631</v>
      </c>
      <c r="H103" s="11" t="s">
        <v>637</v>
      </c>
      <c r="I103" s="11" t="s">
        <v>637</v>
      </c>
      <c r="J103" s="13"/>
      <c r="K103" s="13"/>
      <c r="L103" s="14" t="str">
        <f t="shared" si="3"/>
        <v>PASSED</v>
      </c>
    </row>
    <row r="104" spans="2:12" ht="125.5" customHeight="1" x14ac:dyDescent="0.35">
      <c r="B104" s="14" t="s">
        <v>638</v>
      </c>
      <c r="C104" s="11" t="s">
        <v>533</v>
      </c>
      <c r="D104" s="11" t="s">
        <v>534</v>
      </c>
      <c r="E104" s="12" t="s">
        <v>639</v>
      </c>
      <c r="F104" s="12" t="s">
        <v>640</v>
      </c>
      <c r="G104" s="11" t="s">
        <v>636</v>
      </c>
      <c r="H104" s="11" t="s">
        <v>642</v>
      </c>
      <c r="I104" s="11" t="s">
        <v>642</v>
      </c>
      <c r="J104" s="13"/>
      <c r="K104" s="13"/>
      <c r="L104" s="14" t="str">
        <f t="shared" si="3"/>
        <v>PASSED</v>
      </c>
    </row>
    <row r="105" spans="2:12" ht="129" customHeight="1" x14ac:dyDescent="0.35">
      <c r="B105" s="14" t="s">
        <v>643</v>
      </c>
      <c r="C105" s="11" t="s">
        <v>533</v>
      </c>
      <c r="D105" s="11" t="s">
        <v>534</v>
      </c>
      <c r="E105" s="11" t="s">
        <v>644</v>
      </c>
      <c r="F105" s="12" t="s">
        <v>645</v>
      </c>
      <c r="G105" s="11" t="s">
        <v>641</v>
      </c>
      <c r="H105" s="11" t="s">
        <v>647</v>
      </c>
      <c r="I105" s="11" t="s">
        <v>647</v>
      </c>
      <c r="J105" s="13"/>
      <c r="K105" s="13"/>
      <c r="L105" s="14" t="str">
        <f t="shared" si="3"/>
        <v>PASSED</v>
      </c>
    </row>
    <row r="106" spans="2:12" ht="119" customHeight="1" x14ac:dyDescent="0.35">
      <c r="B106" s="14" t="s">
        <v>648</v>
      </c>
      <c r="C106" s="11" t="s">
        <v>533</v>
      </c>
      <c r="D106" s="11" t="s">
        <v>534</v>
      </c>
      <c r="E106" s="11" t="s">
        <v>649</v>
      </c>
      <c r="F106" s="12" t="s">
        <v>650</v>
      </c>
      <c r="G106" s="11" t="s">
        <v>646</v>
      </c>
      <c r="H106" s="11" t="s">
        <v>652</v>
      </c>
      <c r="I106" s="11" t="s">
        <v>652</v>
      </c>
      <c r="J106" s="13"/>
      <c r="K106" s="13"/>
      <c r="L106" s="14" t="str">
        <f t="shared" si="3"/>
        <v>PASSED</v>
      </c>
    </row>
    <row r="107" spans="2:12" ht="114.5" customHeight="1" x14ac:dyDescent="0.35">
      <c r="B107" s="14" t="s">
        <v>653</v>
      </c>
      <c r="C107" s="11" t="s">
        <v>533</v>
      </c>
      <c r="D107" s="11" t="s">
        <v>534</v>
      </c>
      <c r="E107" s="11" t="s">
        <v>654</v>
      </c>
      <c r="F107" s="12" t="s">
        <v>655</v>
      </c>
      <c r="G107" s="11" t="s">
        <v>651</v>
      </c>
      <c r="H107" s="11" t="s">
        <v>657</v>
      </c>
      <c r="I107" s="11" t="s">
        <v>657</v>
      </c>
      <c r="J107" s="13"/>
      <c r="K107" s="13"/>
      <c r="L107" s="14" t="str">
        <f>IF(EXACT(TRIM(H8), TRIM(I8)), "PASSED", "FAILED")</f>
        <v>PASSED</v>
      </c>
    </row>
    <row r="108" spans="2:12" ht="119" customHeight="1" x14ac:dyDescent="0.35">
      <c r="B108" s="14" t="s">
        <v>658</v>
      </c>
      <c r="C108" s="11" t="s">
        <v>533</v>
      </c>
      <c r="D108" s="11" t="s">
        <v>534</v>
      </c>
      <c r="E108" s="11" t="s">
        <v>659</v>
      </c>
      <c r="F108" s="12" t="s">
        <v>660</v>
      </c>
      <c r="G108" s="11" t="s">
        <v>656</v>
      </c>
      <c r="H108" s="11" t="s">
        <v>662</v>
      </c>
      <c r="I108" s="11" t="s">
        <v>662</v>
      </c>
      <c r="J108" s="13"/>
      <c r="K108" s="13"/>
      <c r="L108" s="14" t="str">
        <f t="shared" ref="L108:L139" si="4">IF(EXACT(TRIM(H108), TRIM(I108)), "PASSED", "FAILED")</f>
        <v>PASSED</v>
      </c>
    </row>
    <row r="109" spans="2:12" ht="106" customHeight="1" x14ac:dyDescent="0.35">
      <c r="B109" s="14" t="s">
        <v>663</v>
      </c>
      <c r="C109" s="11" t="s">
        <v>533</v>
      </c>
      <c r="D109" s="11" t="s">
        <v>534</v>
      </c>
      <c r="E109" s="11" t="s">
        <v>664</v>
      </c>
      <c r="F109" s="12" t="s">
        <v>665</v>
      </c>
      <c r="G109" s="11" t="s">
        <v>661</v>
      </c>
      <c r="H109" s="11" t="s">
        <v>667</v>
      </c>
      <c r="I109" s="11" t="s">
        <v>667</v>
      </c>
      <c r="J109" s="13"/>
      <c r="K109" s="13"/>
      <c r="L109" s="14" t="str">
        <f t="shared" si="4"/>
        <v>PASSED</v>
      </c>
    </row>
    <row r="110" spans="2:12" ht="119" customHeight="1" x14ac:dyDescent="0.35">
      <c r="B110" s="14" t="s">
        <v>668</v>
      </c>
      <c r="C110" s="11" t="s">
        <v>533</v>
      </c>
      <c r="D110" s="11" t="s">
        <v>534</v>
      </c>
      <c r="E110" s="11" t="s">
        <v>669</v>
      </c>
      <c r="F110" s="12" t="s">
        <v>670</v>
      </c>
      <c r="G110" s="12" t="s">
        <v>666</v>
      </c>
      <c r="H110" s="11" t="s">
        <v>672</v>
      </c>
      <c r="I110" s="11" t="s">
        <v>672</v>
      </c>
      <c r="J110" s="13"/>
      <c r="K110" s="13"/>
      <c r="L110" s="14" t="str">
        <f t="shared" si="4"/>
        <v>PASSED</v>
      </c>
    </row>
    <row r="111" spans="2:12" ht="108" customHeight="1" x14ac:dyDescent="0.35">
      <c r="B111" s="14" t="s">
        <v>673</v>
      </c>
      <c r="C111" s="11" t="s">
        <v>533</v>
      </c>
      <c r="D111" s="11" t="s">
        <v>534</v>
      </c>
      <c r="E111" s="11" t="s">
        <v>674</v>
      </c>
      <c r="F111" s="12" t="s">
        <v>675</v>
      </c>
      <c r="G111" s="11" t="s">
        <v>671</v>
      </c>
      <c r="H111" s="11" t="s">
        <v>677</v>
      </c>
      <c r="I111" s="11" t="s">
        <v>677</v>
      </c>
      <c r="J111" s="13"/>
      <c r="K111" s="13"/>
      <c r="L111" s="14" t="str">
        <f t="shared" si="4"/>
        <v>PASSED</v>
      </c>
    </row>
    <row r="112" spans="2:12" ht="122.5" customHeight="1" x14ac:dyDescent="0.35">
      <c r="B112" s="14" t="s">
        <v>678</v>
      </c>
      <c r="C112" s="11" t="s">
        <v>533</v>
      </c>
      <c r="D112" s="11" t="s">
        <v>534</v>
      </c>
      <c r="E112" s="11" t="s">
        <v>679</v>
      </c>
      <c r="F112" s="12" t="s">
        <v>680</v>
      </c>
      <c r="G112" s="11" t="s">
        <v>676</v>
      </c>
      <c r="H112" s="11" t="s">
        <v>682</v>
      </c>
      <c r="I112" s="11" t="s">
        <v>682</v>
      </c>
      <c r="J112" s="13"/>
      <c r="K112" s="13"/>
      <c r="L112" s="14" t="str">
        <f t="shared" si="4"/>
        <v>PASSED</v>
      </c>
    </row>
    <row r="113" spans="2:12" ht="148" customHeight="1" x14ac:dyDescent="0.35">
      <c r="B113" s="14" t="s">
        <v>683</v>
      </c>
      <c r="C113" s="11" t="s">
        <v>533</v>
      </c>
      <c r="D113" s="11" t="s">
        <v>534</v>
      </c>
      <c r="E113" s="11" t="s">
        <v>684</v>
      </c>
      <c r="F113" s="12" t="s">
        <v>685</v>
      </c>
      <c r="G113" s="11" t="s">
        <v>681</v>
      </c>
      <c r="H113" s="11" t="s">
        <v>687</v>
      </c>
      <c r="I113" s="11" t="s">
        <v>687</v>
      </c>
      <c r="J113" s="13"/>
      <c r="K113" s="13"/>
      <c r="L113" s="14" t="str">
        <f t="shared" si="4"/>
        <v>PASSED</v>
      </c>
    </row>
    <row r="114" spans="2:12" ht="118" customHeight="1" x14ac:dyDescent="0.35">
      <c r="B114" s="14" t="s">
        <v>688</v>
      </c>
      <c r="C114" s="11" t="s">
        <v>533</v>
      </c>
      <c r="D114" s="11" t="s">
        <v>534</v>
      </c>
      <c r="E114" s="11" t="s">
        <v>689</v>
      </c>
      <c r="F114" s="12" t="s">
        <v>690</v>
      </c>
      <c r="G114" s="11" t="s">
        <v>686</v>
      </c>
      <c r="H114" s="11" t="s">
        <v>692</v>
      </c>
      <c r="I114" s="11" t="s">
        <v>692</v>
      </c>
      <c r="J114" s="13"/>
      <c r="K114" s="13"/>
      <c r="L114" s="14" t="str">
        <f t="shared" si="4"/>
        <v>PASSED</v>
      </c>
    </row>
    <row r="115" spans="2:12" ht="115.5" customHeight="1" x14ac:dyDescent="0.35">
      <c r="B115" s="14" t="s">
        <v>693</v>
      </c>
      <c r="C115" s="11" t="s">
        <v>533</v>
      </c>
      <c r="D115" s="11" t="s">
        <v>534</v>
      </c>
      <c r="E115" s="11" t="s">
        <v>694</v>
      </c>
      <c r="F115" s="12" t="s">
        <v>695</v>
      </c>
      <c r="G115" s="11" t="s">
        <v>691</v>
      </c>
      <c r="H115" s="11" t="s">
        <v>697</v>
      </c>
      <c r="I115" s="11" t="s">
        <v>697</v>
      </c>
      <c r="J115" s="13"/>
      <c r="K115" s="13"/>
      <c r="L115" s="14" t="str">
        <f t="shared" si="4"/>
        <v>PASSED</v>
      </c>
    </row>
    <row r="116" spans="2:12" ht="109.5" customHeight="1" x14ac:dyDescent="0.35">
      <c r="B116" s="14" t="s">
        <v>698</v>
      </c>
      <c r="C116" s="11" t="s">
        <v>533</v>
      </c>
      <c r="D116" s="11" t="s">
        <v>534</v>
      </c>
      <c r="E116" s="11" t="s">
        <v>699</v>
      </c>
      <c r="F116" s="12" t="s">
        <v>700</v>
      </c>
      <c r="G116" s="11" t="s">
        <v>696</v>
      </c>
      <c r="H116" s="11" t="s">
        <v>702</v>
      </c>
      <c r="I116" s="11" t="s">
        <v>702</v>
      </c>
      <c r="J116" s="13"/>
      <c r="K116" s="13"/>
      <c r="L116" s="14" t="str">
        <f t="shared" si="4"/>
        <v>PASSED</v>
      </c>
    </row>
    <row r="117" spans="2:12" ht="113.5" customHeight="1" x14ac:dyDescent="0.35">
      <c r="B117" s="14" t="s">
        <v>703</v>
      </c>
      <c r="C117" s="11" t="s">
        <v>533</v>
      </c>
      <c r="D117" s="11" t="s">
        <v>534</v>
      </c>
      <c r="E117" s="11" t="s">
        <v>704</v>
      </c>
      <c r="F117" s="12" t="s">
        <v>705</v>
      </c>
      <c r="G117" s="11" t="s">
        <v>701</v>
      </c>
      <c r="H117" s="11" t="s">
        <v>707</v>
      </c>
      <c r="I117" s="11" t="s">
        <v>707</v>
      </c>
      <c r="J117" s="13"/>
      <c r="K117" s="13"/>
      <c r="L117" s="14" t="str">
        <f t="shared" si="4"/>
        <v>PASSED</v>
      </c>
    </row>
    <row r="118" spans="2:12" ht="130.5" customHeight="1" x14ac:dyDescent="0.35">
      <c r="B118" s="14" t="s">
        <v>708</v>
      </c>
      <c r="C118" s="11" t="s">
        <v>533</v>
      </c>
      <c r="D118" s="11" t="s">
        <v>534</v>
      </c>
      <c r="E118" s="11" t="s">
        <v>709</v>
      </c>
      <c r="F118" s="12" t="s">
        <v>710</v>
      </c>
      <c r="G118" s="11" t="s">
        <v>706</v>
      </c>
      <c r="H118" s="11" t="s">
        <v>712</v>
      </c>
      <c r="I118" s="11" t="s">
        <v>712</v>
      </c>
      <c r="J118" s="13"/>
      <c r="K118" s="13"/>
      <c r="L118" s="14" t="str">
        <f t="shared" si="4"/>
        <v>PASSED</v>
      </c>
    </row>
    <row r="119" spans="2:12" ht="113.5" customHeight="1" x14ac:dyDescent="0.35">
      <c r="B119" s="14" t="s">
        <v>713</v>
      </c>
      <c r="C119" s="11" t="s">
        <v>533</v>
      </c>
      <c r="D119" s="11" t="s">
        <v>534</v>
      </c>
      <c r="E119" s="11" t="s">
        <v>714</v>
      </c>
      <c r="F119" s="12" t="s">
        <v>715</v>
      </c>
      <c r="G119" s="11" t="s">
        <v>711</v>
      </c>
      <c r="H119" s="11" t="s">
        <v>717</v>
      </c>
      <c r="I119" s="11" t="s">
        <v>717</v>
      </c>
      <c r="J119" s="13"/>
      <c r="K119" s="13"/>
      <c r="L119" s="14" t="str">
        <f t="shared" si="4"/>
        <v>PASSED</v>
      </c>
    </row>
    <row r="120" spans="2:12" ht="132" customHeight="1" x14ac:dyDescent="0.35">
      <c r="B120" s="14" t="s">
        <v>718</v>
      </c>
      <c r="C120" s="11" t="s">
        <v>533</v>
      </c>
      <c r="D120" s="11" t="s">
        <v>534</v>
      </c>
      <c r="E120" s="11" t="s">
        <v>719</v>
      </c>
      <c r="F120" s="12" t="s">
        <v>720</v>
      </c>
      <c r="G120" s="11" t="s">
        <v>716</v>
      </c>
      <c r="H120" s="11" t="s">
        <v>722</v>
      </c>
      <c r="I120" s="11" t="s">
        <v>722</v>
      </c>
      <c r="J120" s="13"/>
      <c r="K120" s="13"/>
      <c r="L120" s="14" t="str">
        <f t="shared" si="4"/>
        <v>PASSED</v>
      </c>
    </row>
    <row r="121" spans="2:12" ht="117" customHeight="1" x14ac:dyDescent="0.35">
      <c r="B121" s="14" t="s">
        <v>723</v>
      </c>
      <c r="C121" s="11" t="s">
        <v>533</v>
      </c>
      <c r="D121" s="11" t="s">
        <v>534</v>
      </c>
      <c r="E121" s="11" t="s">
        <v>724</v>
      </c>
      <c r="F121" s="12" t="s">
        <v>725</v>
      </c>
      <c r="G121" s="11" t="s">
        <v>721</v>
      </c>
      <c r="H121" s="11" t="s">
        <v>727</v>
      </c>
      <c r="I121" s="11" t="s">
        <v>727</v>
      </c>
      <c r="J121" s="13"/>
      <c r="K121" s="13"/>
      <c r="L121" s="14" t="str">
        <f t="shared" si="4"/>
        <v>PASSED</v>
      </c>
    </row>
    <row r="122" spans="2:12" ht="145" customHeight="1" x14ac:dyDescent="0.35">
      <c r="B122" s="14" t="s">
        <v>728</v>
      </c>
      <c r="C122" s="11" t="s">
        <v>533</v>
      </c>
      <c r="D122" s="11" t="s">
        <v>534</v>
      </c>
      <c r="E122" s="12" t="s">
        <v>729</v>
      </c>
      <c r="F122" s="12" t="s">
        <v>730</v>
      </c>
      <c r="G122" s="11" t="s">
        <v>726</v>
      </c>
      <c r="H122" s="11" t="s">
        <v>732</v>
      </c>
      <c r="I122" s="11" t="s">
        <v>732</v>
      </c>
      <c r="J122" s="13"/>
      <c r="K122" s="13"/>
      <c r="L122" s="14" t="str">
        <f t="shared" si="4"/>
        <v>PASSED</v>
      </c>
    </row>
    <row r="123" spans="2:12" ht="133" customHeight="1" x14ac:dyDescent="0.35">
      <c r="B123" s="14" t="s">
        <v>733</v>
      </c>
      <c r="C123" s="11" t="s">
        <v>533</v>
      </c>
      <c r="D123" s="11" t="s">
        <v>534</v>
      </c>
      <c r="E123" s="11" t="s">
        <v>734</v>
      </c>
      <c r="F123" s="12" t="s">
        <v>735</v>
      </c>
      <c r="G123" s="11" t="s">
        <v>731</v>
      </c>
      <c r="H123" s="11" t="s">
        <v>737</v>
      </c>
      <c r="I123" s="11" t="s">
        <v>737</v>
      </c>
      <c r="J123" s="13"/>
      <c r="K123" s="13"/>
      <c r="L123" s="14" t="str">
        <f t="shared" si="4"/>
        <v>PASSED</v>
      </c>
    </row>
    <row r="124" spans="2:12" ht="117" customHeight="1" x14ac:dyDescent="0.35">
      <c r="B124" s="14" t="s">
        <v>738</v>
      </c>
      <c r="C124" s="11" t="s">
        <v>533</v>
      </c>
      <c r="D124" s="11" t="s">
        <v>534</v>
      </c>
      <c r="E124" s="11" t="s">
        <v>739</v>
      </c>
      <c r="F124" s="12" t="s">
        <v>740</v>
      </c>
      <c r="G124" s="11" t="s">
        <v>736</v>
      </c>
      <c r="H124" s="11" t="s">
        <v>742</v>
      </c>
      <c r="I124" s="11" t="s">
        <v>742</v>
      </c>
      <c r="J124" s="13"/>
      <c r="K124" s="13"/>
      <c r="L124" s="14" t="str">
        <f t="shared" si="4"/>
        <v>PASSED</v>
      </c>
    </row>
    <row r="125" spans="2:12" ht="110.5" customHeight="1" x14ac:dyDescent="0.35">
      <c r="B125" s="14" t="s">
        <v>743</v>
      </c>
      <c r="C125" s="11" t="s">
        <v>533</v>
      </c>
      <c r="D125" s="11" t="s">
        <v>534</v>
      </c>
      <c r="E125" s="11" t="s">
        <v>744</v>
      </c>
      <c r="F125" s="12" t="s">
        <v>745</v>
      </c>
      <c r="G125" s="11" t="s">
        <v>741</v>
      </c>
      <c r="H125" s="11" t="s">
        <v>747</v>
      </c>
      <c r="I125" s="11" t="s">
        <v>747</v>
      </c>
      <c r="J125" s="13"/>
      <c r="K125" s="13"/>
      <c r="L125" s="14" t="str">
        <f t="shared" si="4"/>
        <v>PASSED</v>
      </c>
    </row>
    <row r="126" spans="2:12" ht="121" customHeight="1" x14ac:dyDescent="0.35">
      <c r="B126" s="14" t="s">
        <v>748</v>
      </c>
      <c r="C126" s="11" t="s">
        <v>533</v>
      </c>
      <c r="D126" s="11" t="s">
        <v>534</v>
      </c>
      <c r="E126" s="11" t="s">
        <v>749</v>
      </c>
      <c r="F126" s="12" t="s">
        <v>750</v>
      </c>
      <c r="G126" s="11" t="s">
        <v>746</v>
      </c>
      <c r="H126" s="11" t="s">
        <v>752</v>
      </c>
      <c r="I126" s="11" t="s">
        <v>752</v>
      </c>
      <c r="J126" s="13"/>
      <c r="K126" s="13"/>
      <c r="L126" s="14" t="str">
        <f t="shared" si="4"/>
        <v>PASSED</v>
      </c>
    </row>
    <row r="127" spans="2:12" ht="132" customHeight="1" x14ac:dyDescent="0.35">
      <c r="B127" s="14" t="s">
        <v>753</v>
      </c>
      <c r="C127" s="11" t="s">
        <v>533</v>
      </c>
      <c r="D127" s="11" t="s">
        <v>534</v>
      </c>
      <c r="E127" s="11" t="s">
        <v>754</v>
      </c>
      <c r="F127" s="12" t="s">
        <v>755</v>
      </c>
      <c r="G127" s="11" t="s">
        <v>751</v>
      </c>
      <c r="H127" s="11" t="s">
        <v>757</v>
      </c>
      <c r="I127" s="11" t="s">
        <v>757</v>
      </c>
      <c r="J127" s="13"/>
      <c r="K127" s="13"/>
      <c r="L127" s="14" t="str">
        <f t="shared" si="4"/>
        <v>PASSED</v>
      </c>
    </row>
    <row r="128" spans="2:12" ht="117" customHeight="1" x14ac:dyDescent="0.35">
      <c r="B128" s="14" t="s">
        <v>758</v>
      </c>
      <c r="C128" s="11" t="s">
        <v>533</v>
      </c>
      <c r="D128" s="11" t="s">
        <v>534</v>
      </c>
      <c r="E128" s="11" t="s">
        <v>759</v>
      </c>
      <c r="F128" s="12" t="s">
        <v>760</v>
      </c>
      <c r="G128" s="11" t="s">
        <v>756</v>
      </c>
      <c r="H128" s="11" t="s">
        <v>762</v>
      </c>
      <c r="I128" s="11" t="s">
        <v>762</v>
      </c>
      <c r="J128" s="13"/>
      <c r="K128" s="13"/>
      <c r="L128" s="14" t="str">
        <f t="shared" si="4"/>
        <v>PASSED</v>
      </c>
    </row>
    <row r="129" spans="2:12" ht="115.5" customHeight="1" x14ac:dyDescent="0.35">
      <c r="B129" s="14" t="s">
        <v>763</v>
      </c>
      <c r="C129" s="11" t="s">
        <v>533</v>
      </c>
      <c r="D129" s="11" t="s">
        <v>534</v>
      </c>
      <c r="E129" s="11" t="s">
        <v>764</v>
      </c>
      <c r="F129" s="12" t="s">
        <v>765</v>
      </c>
      <c r="G129" s="11" t="s">
        <v>761</v>
      </c>
      <c r="H129" s="11" t="s">
        <v>767</v>
      </c>
      <c r="I129" s="11" t="s">
        <v>767</v>
      </c>
      <c r="J129" s="13"/>
      <c r="K129" s="13"/>
      <c r="L129" s="14" t="str">
        <f t="shared" si="4"/>
        <v>PASSED</v>
      </c>
    </row>
    <row r="130" spans="2:12" ht="144" customHeight="1" x14ac:dyDescent="0.35">
      <c r="B130" s="14" t="s">
        <v>768</v>
      </c>
      <c r="C130" s="11" t="s">
        <v>533</v>
      </c>
      <c r="D130" s="11" t="s">
        <v>534</v>
      </c>
      <c r="E130" s="11" t="s">
        <v>769</v>
      </c>
      <c r="F130" s="12" t="s">
        <v>770</v>
      </c>
      <c r="G130" s="11" t="s">
        <v>766</v>
      </c>
      <c r="H130" s="11" t="s">
        <v>772</v>
      </c>
      <c r="I130" s="11" t="s">
        <v>772</v>
      </c>
      <c r="J130" s="13"/>
      <c r="K130" s="13"/>
      <c r="L130" s="14" t="str">
        <f t="shared" si="4"/>
        <v>PASSED</v>
      </c>
    </row>
    <row r="131" spans="2:12" ht="144.5" customHeight="1" x14ac:dyDescent="0.35">
      <c r="B131" s="14" t="s">
        <v>773</v>
      </c>
      <c r="C131" s="11" t="s">
        <v>533</v>
      </c>
      <c r="D131" s="11" t="s">
        <v>534</v>
      </c>
      <c r="E131" s="11" t="s">
        <v>774</v>
      </c>
      <c r="F131" s="12" t="s">
        <v>775</v>
      </c>
      <c r="G131" s="11" t="s">
        <v>771</v>
      </c>
      <c r="H131" s="11" t="s">
        <v>777</v>
      </c>
      <c r="I131" s="11" t="s">
        <v>777</v>
      </c>
      <c r="J131" s="13"/>
      <c r="K131" s="13"/>
      <c r="L131" s="14" t="str">
        <f t="shared" si="4"/>
        <v>PASSED</v>
      </c>
    </row>
    <row r="132" spans="2:12" ht="143" customHeight="1" x14ac:dyDescent="0.35">
      <c r="B132" s="14" t="s">
        <v>778</v>
      </c>
      <c r="C132" s="11" t="s">
        <v>533</v>
      </c>
      <c r="D132" s="11" t="s">
        <v>534</v>
      </c>
      <c r="E132" s="11" t="s">
        <v>779</v>
      </c>
      <c r="F132" s="12" t="s">
        <v>780</v>
      </c>
      <c r="G132" s="11" t="s">
        <v>776</v>
      </c>
      <c r="H132" s="11" t="s">
        <v>782</v>
      </c>
      <c r="I132" s="11" t="s">
        <v>782</v>
      </c>
      <c r="J132" s="13"/>
      <c r="K132" s="13"/>
      <c r="L132" s="14" t="str">
        <f t="shared" si="4"/>
        <v>PASSED</v>
      </c>
    </row>
    <row r="133" spans="2:12" ht="125.5" customHeight="1" x14ac:dyDescent="0.35">
      <c r="B133" s="14" t="s">
        <v>783</v>
      </c>
      <c r="C133" s="11" t="s">
        <v>533</v>
      </c>
      <c r="D133" s="11" t="s">
        <v>534</v>
      </c>
      <c r="E133" s="11" t="s">
        <v>784</v>
      </c>
      <c r="F133" s="12" t="s">
        <v>785</v>
      </c>
      <c r="G133" s="11" t="s">
        <v>781</v>
      </c>
      <c r="H133" s="11" t="s">
        <v>787</v>
      </c>
      <c r="I133" s="11" t="s">
        <v>787</v>
      </c>
      <c r="J133" s="13"/>
      <c r="K133" s="13"/>
      <c r="L133" s="14" t="str">
        <f t="shared" si="4"/>
        <v>PASSED</v>
      </c>
    </row>
    <row r="134" spans="2:12" ht="114" customHeight="1" x14ac:dyDescent="0.35">
      <c r="B134" s="14" t="s">
        <v>788</v>
      </c>
      <c r="C134" s="11" t="s">
        <v>533</v>
      </c>
      <c r="D134" s="11" t="s">
        <v>534</v>
      </c>
      <c r="E134" s="11" t="s">
        <v>789</v>
      </c>
      <c r="F134" s="12" t="s">
        <v>790</v>
      </c>
      <c r="G134" s="11" t="s">
        <v>786</v>
      </c>
      <c r="H134" s="11" t="s">
        <v>792</v>
      </c>
      <c r="I134" s="11" t="s">
        <v>792</v>
      </c>
      <c r="J134" s="13"/>
      <c r="K134" s="13"/>
      <c r="L134" s="14" t="str">
        <f t="shared" si="4"/>
        <v>PASSED</v>
      </c>
    </row>
    <row r="135" spans="2:12" ht="117.5" customHeight="1" x14ac:dyDescent="0.35">
      <c r="B135" s="14" t="s">
        <v>793</v>
      </c>
      <c r="C135" s="11" t="s">
        <v>533</v>
      </c>
      <c r="D135" s="11" t="s">
        <v>534</v>
      </c>
      <c r="E135" s="11" t="s">
        <v>794</v>
      </c>
      <c r="F135" s="12" t="s">
        <v>795</v>
      </c>
      <c r="G135" s="11" t="s">
        <v>791</v>
      </c>
      <c r="H135" s="11" t="s">
        <v>797</v>
      </c>
      <c r="I135" s="11" t="s">
        <v>797</v>
      </c>
      <c r="J135" s="13"/>
      <c r="K135" s="13"/>
      <c r="L135" s="14" t="str">
        <f t="shared" si="4"/>
        <v>PASSED</v>
      </c>
    </row>
    <row r="136" spans="2:12" ht="136.5" customHeight="1" x14ac:dyDescent="0.35">
      <c r="B136" s="14" t="s">
        <v>798</v>
      </c>
      <c r="C136" s="11" t="s">
        <v>533</v>
      </c>
      <c r="D136" s="11" t="s">
        <v>534</v>
      </c>
      <c r="E136" s="11" t="s">
        <v>799</v>
      </c>
      <c r="F136" s="12" t="s">
        <v>800</v>
      </c>
      <c r="G136" s="11" t="s">
        <v>796</v>
      </c>
      <c r="H136" s="11" t="s">
        <v>802</v>
      </c>
      <c r="I136" s="11" t="s">
        <v>802</v>
      </c>
      <c r="J136" s="13"/>
      <c r="K136" s="13"/>
      <c r="L136" s="14" t="str">
        <f t="shared" si="4"/>
        <v>PASSED</v>
      </c>
    </row>
    <row r="137" spans="2:12" ht="120.5" customHeight="1" x14ac:dyDescent="0.35">
      <c r="B137" s="14" t="s">
        <v>803</v>
      </c>
      <c r="C137" s="11" t="s">
        <v>533</v>
      </c>
      <c r="D137" s="11" t="s">
        <v>534</v>
      </c>
      <c r="E137" s="11" t="s">
        <v>804</v>
      </c>
      <c r="F137" s="12" t="s">
        <v>805</v>
      </c>
      <c r="G137" s="11" t="s">
        <v>801</v>
      </c>
      <c r="H137" s="11" t="s">
        <v>807</v>
      </c>
      <c r="I137" s="11" t="s">
        <v>807</v>
      </c>
      <c r="J137" s="13"/>
      <c r="K137" s="13"/>
      <c r="L137" s="14" t="str">
        <f t="shared" si="4"/>
        <v>PASSED</v>
      </c>
    </row>
    <row r="138" spans="2:12" ht="118.5" customHeight="1" x14ac:dyDescent="0.35">
      <c r="B138" s="14" t="s">
        <v>808</v>
      </c>
      <c r="C138" s="11" t="s">
        <v>533</v>
      </c>
      <c r="D138" s="11" t="s">
        <v>534</v>
      </c>
      <c r="E138" s="12" t="s">
        <v>809</v>
      </c>
      <c r="F138" s="12" t="s">
        <v>810</v>
      </c>
      <c r="G138" s="11" t="s">
        <v>806</v>
      </c>
      <c r="H138" s="11" t="s">
        <v>812</v>
      </c>
      <c r="I138" s="11" t="s">
        <v>812</v>
      </c>
      <c r="J138" s="13"/>
      <c r="K138" s="13"/>
      <c r="L138" s="14" t="str">
        <f t="shared" si="4"/>
        <v>PASSED</v>
      </c>
    </row>
    <row r="139" spans="2:12" ht="125.5" customHeight="1" x14ac:dyDescent="0.35">
      <c r="B139" s="14" t="s">
        <v>813</v>
      </c>
      <c r="C139" s="11" t="s">
        <v>533</v>
      </c>
      <c r="D139" s="11" t="s">
        <v>534</v>
      </c>
      <c r="E139" s="11" t="s">
        <v>814</v>
      </c>
      <c r="F139" s="12" t="s">
        <v>815</v>
      </c>
      <c r="G139" s="11" t="s">
        <v>811</v>
      </c>
      <c r="H139" s="11" t="s">
        <v>817</v>
      </c>
      <c r="I139" s="11" t="s">
        <v>817</v>
      </c>
      <c r="J139" s="13"/>
      <c r="K139" s="13"/>
      <c r="L139" s="14" t="str">
        <f t="shared" si="4"/>
        <v>PASSED</v>
      </c>
    </row>
    <row r="140" spans="2:12" ht="134" customHeight="1" x14ac:dyDescent="0.35">
      <c r="B140" s="14" t="s">
        <v>818</v>
      </c>
      <c r="C140" s="11" t="s">
        <v>533</v>
      </c>
      <c r="D140" s="11" t="s">
        <v>534</v>
      </c>
      <c r="E140" s="11" t="s">
        <v>819</v>
      </c>
      <c r="F140" s="12" t="s">
        <v>820</v>
      </c>
      <c r="G140" s="11" t="s">
        <v>816</v>
      </c>
      <c r="H140" s="11" t="s">
        <v>822</v>
      </c>
      <c r="I140" s="11" t="s">
        <v>822</v>
      </c>
      <c r="J140" s="13"/>
      <c r="K140" s="13"/>
      <c r="L140" s="14" t="str">
        <f t="shared" ref="L140:L171" si="5">IF(EXACT(TRIM(H140), TRIM(I140)), "PASSED", "FAILED")</f>
        <v>PASSED</v>
      </c>
    </row>
    <row r="141" spans="2:12" ht="117" customHeight="1" x14ac:dyDescent="0.35">
      <c r="B141" s="14" t="s">
        <v>823</v>
      </c>
      <c r="C141" s="11" t="s">
        <v>533</v>
      </c>
      <c r="D141" s="11" t="s">
        <v>534</v>
      </c>
      <c r="E141" s="11" t="s">
        <v>824</v>
      </c>
      <c r="F141" s="12" t="s">
        <v>825</v>
      </c>
      <c r="G141" s="11" t="s">
        <v>821</v>
      </c>
      <c r="H141" s="11" t="s">
        <v>827</v>
      </c>
      <c r="I141" s="11" t="s">
        <v>827</v>
      </c>
      <c r="J141" s="13"/>
      <c r="K141" s="13"/>
      <c r="L141" s="14" t="str">
        <f t="shared" si="5"/>
        <v>PASSED</v>
      </c>
    </row>
    <row r="142" spans="2:12" ht="121.5" customHeight="1" x14ac:dyDescent="0.35">
      <c r="B142" s="14" t="s">
        <v>828</v>
      </c>
      <c r="C142" s="11" t="s">
        <v>533</v>
      </c>
      <c r="D142" s="11" t="s">
        <v>534</v>
      </c>
      <c r="E142" s="11" t="s">
        <v>829</v>
      </c>
      <c r="F142" s="12" t="s">
        <v>830</v>
      </c>
      <c r="G142" s="11" t="s">
        <v>826</v>
      </c>
      <c r="H142" s="12" t="s">
        <v>832</v>
      </c>
      <c r="I142" s="11" t="s">
        <v>832</v>
      </c>
      <c r="J142" s="13"/>
      <c r="K142" s="13"/>
      <c r="L142" s="14" t="str">
        <f t="shared" si="5"/>
        <v>PASSED</v>
      </c>
    </row>
    <row r="143" spans="2:12" ht="127" customHeight="1" x14ac:dyDescent="0.35">
      <c r="B143" s="14" t="s">
        <v>833</v>
      </c>
      <c r="C143" s="11" t="s">
        <v>533</v>
      </c>
      <c r="D143" s="11" t="s">
        <v>534</v>
      </c>
      <c r="E143" s="11" t="s">
        <v>834</v>
      </c>
      <c r="F143" s="12" t="s">
        <v>835</v>
      </c>
      <c r="G143" s="12" t="s">
        <v>831</v>
      </c>
      <c r="H143" s="11" t="s">
        <v>837</v>
      </c>
      <c r="I143" s="11" t="s">
        <v>837</v>
      </c>
      <c r="J143" s="13"/>
      <c r="K143" s="13"/>
      <c r="L143" s="14" t="str">
        <f t="shared" si="5"/>
        <v>PASSED</v>
      </c>
    </row>
    <row r="144" spans="2:12" ht="116" customHeight="1" x14ac:dyDescent="0.35">
      <c r="B144" s="14" t="s">
        <v>838</v>
      </c>
      <c r="C144" s="11" t="s">
        <v>533</v>
      </c>
      <c r="D144" s="11" t="s">
        <v>534</v>
      </c>
      <c r="E144" s="11" t="s">
        <v>839</v>
      </c>
      <c r="F144" s="12" t="s">
        <v>840</v>
      </c>
      <c r="G144" s="11" t="s">
        <v>836</v>
      </c>
      <c r="H144" s="11" t="s">
        <v>842</v>
      </c>
      <c r="I144" s="11" t="s">
        <v>842</v>
      </c>
      <c r="J144" s="13"/>
      <c r="K144" s="13"/>
      <c r="L144" s="14" t="str">
        <f t="shared" si="5"/>
        <v>PASSED</v>
      </c>
    </row>
    <row r="145" spans="2:12" ht="120" customHeight="1" x14ac:dyDescent="0.35">
      <c r="B145" s="14" t="s">
        <v>843</v>
      </c>
      <c r="C145" s="11" t="s">
        <v>533</v>
      </c>
      <c r="D145" s="11" t="s">
        <v>534</v>
      </c>
      <c r="E145" s="11" t="s">
        <v>844</v>
      </c>
      <c r="F145" s="12" t="s">
        <v>845</v>
      </c>
      <c r="G145" s="11" t="s">
        <v>841</v>
      </c>
      <c r="H145" s="11" t="s">
        <v>847</v>
      </c>
      <c r="I145" s="11" t="s">
        <v>847</v>
      </c>
      <c r="J145" s="13"/>
      <c r="K145" s="13"/>
      <c r="L145" s="14" t="str">
        <f t="shared" si="5"/>
        <v>PASSED</v>
      </c>
    </row>
    <row r="146" spans="2:12" ht="111" customHeight="1" x14ac:dyDescent="0.35">
      <c r="B146" s="14" t="s">
        <v>848</v>
      </c>
      <c r="C146" s="11" t="s">
        <v>533</v>
      </c>
      <c r="D146" s="11" t="s">
        <v>534</v>
      </c>
      <c r="E146" s="12" t="s">
        <v>849</v>
      </c>
      <c r="F146" s="12" t="s">
        <v>850</v>
      </c>
      <c r="G146" s="11" t="s">
        <v>846</v>
      </c>
      <c r="H146" s="11" t="s">
        <v>852</v>
      </c>
      <c r="I146" s="11" t="s">
        <v>852</v>
      </c>
      <c r="J146" s="13"/>
      <c r="K146" s="13"/>
      <c r="L146" s="14" t="str">
        <f t="shared" si="5"/>
        <v>PASSED</v>
      </c>
    </row>
    <row r="147" spans="2:12" ht="123.5" customHeight="1" x14ac:dyDescent="0.35">
      <c r="B147" s="14" t="s">
        <v>853</v>
      </c>
      <c r="C147" s="11" t="s">
        <v>533</v>
      </c>
      <c r="D147" s="11" t="s">
        <v>534</v>
      </c>
      <c r="E147" s="11" t="s">
        <v>854</v>
      </c>
      <c r="F147" s="12" t="s">
        <v>855</v>
      </c>
      <c r="G147" s="11" t="s">
        <v>851</v>
      </c>
      <c r="H147" s="11" t="s">
        <v>857</v>
      </c>
      <c r="I147" s="11" t="s">
        <v>857</v>
      </c>
      <c r="J147" s="13"/>
      <c r="K147" s="13"/>
      <c r="L147" s="14" t="str">
        <f t="shared" si="5"/>
        <v>PASSED</v>
      </c>
    </row>
    <row r="148" spans="2:12" ht="119" customHeight="1" x14ac:dyDescent="0.35">
      <c r="B148" s="14" t="s">
        <v>858</v>
      </c>
      <c r="C148" s="11" t="s">
        <v>533</v>
      </c>
      <c r="D148" s="11" t="s">
        <v>534</v>
      </c>
      <c r="E148" s="11" t="s">
        <v>859</v>
      </c>
      <c r="F148" s="12" t="s">
        <v>860</v>
      </c>
      <c r="G148" s="11" t="s">
        <v>856</v>
      </c>
      <c r="H148" s="11" t="s">
        <v>862</v>
      </c>
      <c r="I148" s="11" t="s">
        <v>862</v>
      </c>
      <c r="J148" s="13"/>
      <c r="K148" s="13"/>
      <c r="L148" s="14" t="str">
        <f t="shared" si="5"/>
        <v>PASSED</v>
      </c>
    </row>
    <row r="149" spans="2:12" ht="111" customHeight="1" x14ac:dyDescent="0.35">
      <c r="B149" s="14" t="s">
        <v>863</v>
      </c>
      <c r="C149" s="11" t="s">
        <v>533</v>
      </c>
      <c r="D149" s="11" t="s">
        <v>534</v>
      </c>
      <c r="E149" s="11" t="s">
        <v>864</v>
      </c>
      <c r="F149" s="12" t="s">
        <v>865</v>
      </c>
      <c r="G149" s="11" t="s">
        <v>861</v>
      </c>
      <c r="H149" s="11" t="s">
        <v>867</v>
      </c>
      <c r="I149" s="11" t="s">
        <v>867</v>
      </c>
      <c r="J149" s="13"/>
      <c r="K149" s="13"/>
      <c r="L149" s="14" t="str">
        <f t="shared" si="5"/>
        <v>PASSED</v>
      </c>
    </row>
    <row r="150" spans="2:12" ht="112" customHeight="1" x14ac:dyDescent="0.35">
      <c r="B150" s="14" t="s">
        <v>868</v>
      </c>
      <c r="C150" s="11" t="s">
        <v>533</v>
      </c>
      <c r="D150" s="11" t="s">
        <v>534</v>
      </c>
      <c r="E150" s="11" t="s">
        <v>869</v>
      </c>
      <c r="F150" s="12" t="s">
        <v>870</v>
      </c>
      <c r="G150" s="11" t="s">
        <v>866</v>
      </c>
      <c r="H150" s="11" t="s">
        <v>872</v>
      </c>
      <c r="I150" s="11" t="s">
        <v>872</v>
      </c>
      <c r="J150" s="13"/>
      <c r="K150" s="13"/>
      <c r="L150" s="14" t="str">
        <f t="shared" si="5"/>
        <v>PASSED</v>
      </c>
    </row>
    <row r="151" spans="2:12" ht="125" customHeight="1" x14ac:dyDescent="0.35">
      <c r="B151" s="14" t="s">
        <v>873</v>
      </c>
      <c r="C151" s="11" t="s">
        <v>533</v>
      </c>
      <c r="D151" s="11" t="s">
        <v>534</v>
      </c>
      <c r="E151" s="11" t="s">
        <v>874</v>
      </c>
      <c r="F151" s="12" t="s">
        <v>875</v>
      </c>
      <c r="G151" s="11" t="s">
        <v>871</v>
      </c>
      <c r="H151" s="11" t="s">
        <v>877</v>
      </c>
      <c r="I151" s="11" t="s">
        <v>877</v>
      </c>
      <c r="J151" s="13"/>
      <c r="K151" s="13"/>
      <c r="L151" s="14" t="str">
        <f t="shared" si="5"/>
        <v>PASSED</v>
      </c>
    </row>
    <row r="152" spans="2:12" ht="120" customHeight="1" x14ac:dyDescent="0.35">
      <c r="B152" s="14" t="s">
        <v>878</v>
      </c>
      <c r="C152" s="11" t="s">
        <v>533</v>
      </c>
      <c r="D152" s="11" t="s">
        <v>534</v>
      </c>
      <c r="E152" s="11" t="s">
        <v>879</v>
      </c>
      <c r="F152" s="12" t="s">
        <v>880</v>
      </c>
      <c r="G152" s="11" t="s">
        <v>876</v>
      </c>
      <c r="H152" s="11" t="s">
        <v>882</v>
      </c>
      <c r="I152" s="11" t="s">
        <v>882</v>
      </c>
      <c r="J152" s="13"/>
      <c r="K152" s="13"/>
      <c r="L152" s="14" t="str">
        <f t="shared" si="5"/>
        <v>PASSED</v>
      </c>
    </row>
    <row r="153" spans="2:12" ht="108" customHeight="1" x14ac:dyDescent="0.35">
      <c r="B153" s="14" t="s">
        <v>883</v>
      </c>
      <c r="C153" s="11" t="s">
        <v>533</v>
      </c>
      <c r="D153" s="11" t="s">
        <v>534</v>
      </c>
      <c r="E153" s="11" t="s">
        <v>884</v>
      </c>
      <c r="F153" s="12" t="s">
        <v>885</v>
      </c>
      <c r="G153" s="11" t="s">
        <v>881</v>
      </c>
      <c r="H153" s="11" t="s">
        <v>887</v>
      </c>
      <c r="I153" s="11" t="s">
        <v>887</v>
      </c>
      <c r="J153" s="13"/>
      <c r="K153" s="13"/>
      <c r="L153" s="14" t="str">
        <f t="shared" si="5"/>
        <v>PASSED</v>
      </c>
    </row>
    <row r="154" spans="2:12" ht="113.5" customHeight="1" x14ac:dyDescent="0.35">
      <c r="B154" s="14" t="s">
        <v>888</v>
      </c>
      <c r="C154" s="11" t="s">
        <v>533</v>
      </c>
      <c r="D154" s="11" t="s">
        <v>534</v>
      </c>
      <c r="E154" s="11" t="s">
        <v>889</v>
      </c>
      <c r="F154" s="12" t="s">
        <v>890</v>
      </c>
      <c r="G154" s="11" t="s">
        <v>886</v>
      </c>
      <c r="H154" s="11" t="s">
        <v>892</v>
      </c>
      <c r="I154" s="11" t="s">
        <v>892</v>
      </c>
      <c r="J154" s="13"/>
      <c r="K154" s="13"/>
      <c r="L154" s="14" t="str">
        <f t="shared" si="5"/>
        <v>PASSED</v>
      </c>
    </row>
    <row r="155" spans="2:12" ht="112" customHeight="1" x14ac:dyDescent="0.35">
      <c r="B155" s="14" t="s">
        <v>893</v>
      </c>
      <c r="C155" s="11" t="s">
        <v>533</v>
      </c>
      <c r="D155" s="11" t="s">
        <v>534</v>
      </c>
      <c r="E155" s="12" t="s">
        <v>894</v>
      </c>
      <c r="F155" s="12" t="s">
        <v>895</v>
      </c>
      <c r="G155" s="11" t="s">
        <v>891</v>
      </c>
      <c r="H155" s="11" t="s">
        <v>897</v>
      </c>
      <c r="I155" s="11" t="s">
        <v>897</v>
      </c>
      <c r="J155" s="13"/>
      <c r="K155" s="13"/>
      <c r="L155" s="14" t="str">
        <f t="shared" si="5"/>
        <v>PASSED</v>
      </c>
    </row>
    <row r="156" spans="2:12" ht="112" customHeight="1" x14ac:dyDescent="0.35">
      <c r="B156" s="14" t="s">
        <v>898</v>
      </c>
      <c r="C156" s="11" t="s">
        <v>533</v>
      </c>
      <c r="D156" s="11" t="s">
        <v>534</v>
      </c>
      <c r="E156" s="11" t="s">
        <v>899</v>
      </c>
      <c r="F156" s="12" t="s">
        <v>900</v>
      </c>
      <c r="G156" s="11" t="s">
        <v>896</v>
      </c>
      <c r="H156" s="11" t="s">
        <v>902</v>
      </c>
      <c r="I156" s="11" t="s">
        <v>902</v>
      </c>
      <c r="J156" s="13"/>
      <c r="K156" s="13"/>
      <c r="L156" s="14" t="str">
        <f t="shared" si="5"/>
        <v>PASSED</v>
      </c>
    </row>
    <row r="157" spans="2:12" ht="111.5" customHeight="1" x14ac:dyDescent="0.35">
      <c r="B157" s="14" t="s">
        <v>903</v>
      </c>
      <c r="C157" s="11" t="s">
        <v>533</v>
      </c>
      <c r="D157" s="11" t="s">
        <v>534</v>
      </c>
      <c r="E157" s="11" t="s">
        <v>904</v>
      </c>
      <c r="F157" s="12" t="s">
        <v>905</v>
      </c>
      <c r="G157" s="11" t="s">
        <v>901</v>
      </c>
      <c r="H157" s="11" t="s">
        <v>907</v>
      </c>
      <c r="I157" s="11" t="s">
        <v>907</v>
      </c>
      <c r="J157" s="13"/>
      <c r="K157" s="13"/>
      <c r="L157" s="14" t="str">
        <f t="shared" si="5"/>
        <v>PASSED</v>
      </c>
    </row>
    <row r="158" spans="2:12" ht="115" customHeight="1" x14ac:dyDescent="0.35">
      <c r="B158" s="14" t="s">
        <v>908</v>
      </c>
      <c r="C158" s="11" t="s">
        <v>533</v>
      </c>
      <c r="D158" s="11" t="s">
        <v>534</v>
      </c>
      <c r="E158" s="11" t="s">
        <v>909</v>
      </c>
      <c r="F158" s="12" t="s">
        <v>910</v>
      </c>
      <c r="G158" s="11" t="s">
        <v>906</v>
      </c>
      <c r="H158" s="11" t="s">
        <v>912</v>
      </c>
      <c r="I158" s="11" t="s">
        <v>912</v>
      </c>
      <c r="J158" s="13"/>
      <c r="K158" s="13"/>
      <c r="L158" s="14" t="str">
        <f t="shared" si="5"/>
        <v>PASSED</v>
      </c>
    </row>
    <row r="159" spans="2:12" ht="104" customHeight="1" x14ac:dyDescent="0.35">
      <c r="B159" s="14" t="s">
        <v>913</v>
      </c>
      <c r="C159" s="11" t="s">
        <v>533</v>
      </c>
      <c r="D159" s="11" t="s">
        <v>534</v>
      </c>
      <c r="E159" s="11" t="s">
        <v>914</v>
      </c>
      <c r="F159" s="12" t="s">
        <v>915</v>
      </c>
      <c r="G159" s="11" t="s">
        <v>911</v>
      </c>
      <c r="H159" s="11" t="s">
        <v>917</v>
      </c>
      <c r="I159" s="11" t="s">
        <v>917</v>
      </c>
      <c r="J159" s="13"/>
      <c r="K159" s="13"/>
      <c r="L159" s="14" t="str">
        <f t="shared" si="5"/>
        <v>PASSED</v>
      </c>
    </row>
    <row r="160" spans="2:12" ht="125.5" customHeight="1" x14ac:dyDescent="0.35">
      <c r="B160" s="14" t="s">
        <v>918</v>
      </c>
      <c r="C160" s="11" t="s">
        <v>533</v>
      </c>
      <c r="D160" s="11" t="s">
        <v>534</v>
      </c>
      <c r="E160" s="11" t="s">
        <v>919</v>
      </c>
      <c r="F160" s="12" t="s">
        <v>920</v>
      </c>
      <c r="G160" s="11" t="s">
        <v>916</v>
      </c>
      <c r="H160" s="11" t="s">
        <v>922</v>
      </c>
      <c r="I160" s="11" t="s">
        <v>922</v>
      </c>
      <c r="J160" s="13"/>
      <c r="K160" s="13"/>
      <c r="L160" s="14" t="str">
        <f t="shared" si="5"/>
        <v>PASSED</v>
      </c>
    </row>
    <row r="161" spans="2:12" ht="108" customHeight="1" x14ac:dyDescent="0.35">
      <c r="B161" s="14" t="s">
        <v>923</v>
      </c>
      <c r="C161" s="11" t="s">
        <v>533</v>
      </c>
      <c r="D161" s="11" t="s">
        <v>534</v>
      </c>
      <c r="E161" s="11" t="s">
        <v>924</v>
      </c>
      <c r="F161" s="12" t="s">
        <v>925</v>
      </c>
      <c r="G161" s="11" t="s">
        <v>921</v>
      </c>
      <c r="H161" s="11" t="s">
        <v>927</v>
      </c>
      <c r="I161" s="11" t="s">
        <v>927</v>
      </c>
      <c r="J161" s="13"/>
      <c r="K161" s="13"/>
      <c r="L161" s="14" t="str">
        <f t="shared" si="5"/>
        <v>PASSED</v>
      </c>
    </row>
    <row r="162" spans="2:12" ht="126.5" customHeight="1" x14ac:dyDescent="0.35">
      <c r="B162" s="14" t="s">
        <v>928</v>
      </c>
      <c r="C162" s="11" t="s">
        <v>533</v>
      </c>
      <c r="D162" s="11" t="s">
        <v>534</v>
      </c>
      <c r="E162" s="11" t="s">
        <v>929</v>
      </c>
      <c r="F162" s="12" t="s">
        <v>930</v>
      </c>
      <c r="G162" s="11" t="s">
        <v>926</v>
      </c>
      <c r="H162" s="11" t="s">
        <v>932</v>
      </c>
      <c r="I162" s="11" t="s">
        <v>932</v>
      </c>
      <c r="J162" s="13"/>
      <c r="K162" s="13"/>
      <c r="L162" s="14" t="str">
        <f t="shared" si="5"/>
        <v>PASSED</v>
      </c>
    </row>
    <row r="163" spans="2:12" ht="112" customHeight="1" x14ac:dyDescent="0.35">
      <c r="B163" s="14" t="s">
        <v>933</v>
      </c>
      <c r="C163" s="11" t="s">
        <v>533</v>
      </c>
      <c r="D163" s="11" t="s">
        <v>534</v>
      </c>
      <c r="E163" s="11" t="s">
        <v>934</v>
      </c>
      <c r="F163" s="12" t="s">
        <v>935</v>
      </c>
      <c r="G163" s="11" t="s">
        <v>931</v>
      </c>
      <c r="H163" s="11" t="s">
        <v>937</v>
      </c>
      <c r="I163" s="11" t="s">
        <v>937</v>
      </c>
      <c r="J163" s="13"/>
      <c r="K163" s="13"/>
      <c r="L163" s="14" t="str">
        <f t="shared" si="5"/>
        <v>PASSED</v>
      </c>
    </row>
    <row r="164" spans="2:12" ht="118.5" customHeight="1" x14ac:dyDescent="0.35">
      <c r="B164" s="14" t="s">
        <v>938</v>
      </c>
      <c r="C164" s="11" t="s">
        <v>533</v>
      </c>
      <c r="D164" s="11" t="s">
        <v>534</v>
      </c>
      <c r="E164" s="11" t="s">
        <v>939</v>
      </c>
      <c r="F164" s="12" t="s">
        <v>940</v>
      </c>
      <c r="G164" s="11" t="s">
        <v>936</v>
      </c>
      <c r="H164" s="11" t="s">
        <v>942</v>
      </c>
      <c r="I164" s="11" t="s">
        <v>942</v>
      </c>
      <c r="J164" s="13"/>
      <c r="K164" s="13"/>
      <c r="L164" s="14" t="str">
        <f t="shared" si="5"/>
        <v>PASSED</v>
      </c>
    </row>
    <row r="165" spans="2:12" ht="113.5" customHeight="1" x14ac:dyDescent="0.35">
      <c r="B165" s="14" t="s">
        <v>943</v>
      </c>
      <c r="C165" s="11" t="s">
        <v>533</v>
      </c>
      <c r="D165" s="11" t="s">
        <v>534</v>
      </c>
      <c r="E165" s="11" t="s">
        <v>944</v>
      </c>
      <c r="F165" s="12" t="s">
        <v>945</v>
      </c>
      <c r="G165" s="11" t="s">
        <v>941</v>
      </c>
      <c r="H165" s="11" t="s">
        <v>947</v>
      </c>
      <c r="I165" s="11" t="s">
        <v>947</v>
      </c>
      <c r="J165" s="13"/>
      <c r="K165" s="13"/>
      <c r="L165" s="14" t="str">
        <f t="shared" si="5"/>
        <v>PASSED</v>
      </c>
    </row>
    <row r="166" spans="2:12" ht="144.5" customHeight="1" x14ac:dyDescent="0.35">
      <c r="B166" s="14" t="s">
        <v>948</v>
      </c>
      <c r="C166" s="11" t="s">
        <v>533</v>
      </c>
      <c r="D166" s="11" t="s">
        <v>534</v>
      </c>
      <c r="E166" s="11" t="s">
        <v>949</v>
      </c>
      <c r="F166" s="12" t="s">
        <v>950</v>
      </c>
      <c r="G166" s="11" t="s">
        <v>946</v>
      </c>
      <c r="H166" s="11" t="s">
        <v>952</v>
      </c>
      <c r="I166" s="11" t="s">
        <v>952</v>
      </c>
      <c r="J166" s="13"/>
      <c r="K166" s="13"/>
      <c r="L166" s="14" t="str">
        <f t="shared" si="5"/>
        <v>PASSED</v>
      </c>
    </row>
    <row r="167" spans="2:12" ht="107.5" customHeight="1" x14ac:dyDescent="0.35">
      <c r="B167" s="14" t="s">
        <v>953</v>
      </c>
      <c r="C167" s="11" t="s">
        <v>533</v>
      </c>
      <c r="D167" s="11" t="s">
        <v>534</v>
      </c>
      <c r="E167" s="11" t="s">
        <v>954</v>
      </c>
      <c r="F167" s="12" t="s">
        <v>955</v>
      </c>
      <c r="G167" s="11" t="s">
        <v>951</v>
      </c>
      <c r="H167" s="11" t="s">
        <v>957</v>
      </c>
      <c r="I167" s="11" t="s">
        <v>957</v>
      </c>
      <c r="J167" s="13"/>
      <c r="K167" s="13"/>
      <c r="L167" s="14" t="str">
        <f t="shared" si="5"/>
        <v>PASSED</v>
      </c>
    </row>
    <row r="168" spans="2:12" ht="111.5" customHeight="1" x14ac:dyDescent="0.35">
      <c r="B168" s="14" t="s">
        <v>958</v>
      </c>
      <c r="C168" s="11" t="s">
        <v>533</v>
      </c>
      <c r="D168" s="11" t="s">
        <v>534</v>
      </c>
      <c r="E168" s="11" t="s">
        <v>959</v>
      </c>
      <c r="F168" s="12" t="s">
        <v>960</v>
      </c>
      <c r="G168" s="11" t="s">
        <v>956</v>
      </c>
      <c r="H168" s="11" t="s">
        <v>962</v>
      </c>
      <c r="I168" s="11" t="s">
        <v>962</v>
      </c>
      <c r="J168" s="13"/>
      <c r="K168" s="13"/>
      <c r="L168" s="14" t="str">
        <f t="shared" si="5"/>
        <v>PASSED</v>
      </c>
    </row>
    <row r="169" spans="2:12" ht="108" customHeight="1" x14ac:dyDescent="0.35">
      <c r="B169" s="14" t="s">
        <v>963</v>
      </c>
      <c r="C169" s="11" t="s">
        <v>533</v>
      </c>
      <c r="D169" s="11" t="s">
        <v>534</v>
      </c>
      <c r="E169" s="11" t="s">
        <v>964</v>
      </c>
      <c r="F169" s="12" t="s">
        <v>965</v>
      </c>
      <c r="G169" s="11" t="s">
        <v>961</v>
      </c>
      <c r="H169" s="11" t="s">
        <v>967</v>
      </c>
      <c r="I169" s="11" t="s">
        <v>967</v>
      </c>
      <c r="J169" s="13"/>
      <c r="K169" s="13"/>
      <c r="L169" s="14" t="str">
        <f t="shared" si="5"/>
        <v>PASSED</v>
      </c>
    </row>
    <row r="170" spans="2:12" ht="109.5" customHeight="1" x14ac:dyDescent="0.35">
      <c r="B170" s="14" t="s">
        <v>968</v>
      </c>
      <c r="C170" s="11" t="s">
        <v>533</v>
      </c>
      <c r="D170" s="11" t="s">
        <v>534</v>
      </c>
      <c r="E170" s="11" t="s">
        <v>969</v>
      </c>
      <c r="F170" s="12" t="s">
        <v>970</v>
      </c>
      <c r="G170" s="11" t="s">
        <v>966</v>
      </c>
      <c r="H170" s="11" t="s">
        <v>972</v>
      </c>
      <c r="I170" s="11" t="s">
        <v>972</v>
      </c>
      <c r="J170" s="13"/>
      <c r="K170" s="13"/>
      <c r="L170" s="14" t="str">
        <f t="shared" si="5"/>
        <v>PASSED</v>
      </c>
    </row>
    <row r="171" spans="2:12" ht="112.5" customHeight="1" x14ac:dyDescent="0.35">
      <c r="B171" s="14" t="s">
        <v>973</v>
      </c>
      <c r="C171" s="11" t="s">
        <v>533</v>
      </c>
      <c r="D171" s="11" t="s">
        <v>534</v>
      </c>
      <c r="E171" s="11" t="s">
        <v>974</v>
      </c>
      <c r="F171" s="12" t="s">
        <v>975</v>
      </c>
      <c r="G171" s="11" t="s">
        <v>971</v>
      </c>
      <c r="H171" s="11" t="s">
        <v>977</v>
      </c>
      <c r="I171" s="11" t="s">
        <v>977</v>
      </c>
      <c r="J171" s="13"/>
      <c r="K171" s="13"/>
      <c r="L171" s="14" t="str">
        <f t="shared" si="5"/>
        <v>PASSED</v>
      </c>
    </row>
    <row r="172" spans="2:12" ht="115" customHeight="1" x14ac:dyDescent="0.35">
      <c r="B172" s="14" t="s">
        <v>978</v>
      </c>
      <c r="C172" s="11" t="s">
        <v>533</v>
      </c>
      <c r="D172" s="11" t="s">
        <v>534</v>
      </c>
      <c r="E172" s="11" t="s">
        <v>979</v>
      </c>
      <c r="F172" s="12" t="s">
        <v>980</v>
      </c>
      <c r="G172" s="11" t="s">
        <v>976</v>
      </c>
      <c r="H172" s="11" t="s">
        <v>982</v>
      </c>
      <c r="I172" s="11" t="s">
        <v>982</v>
      </c>
      <c r="J172" s="13"/>
      <c r="K172" s="13"/>
      <c r="L172" s="14" t="str">
        <f t="shared" ref="L172:L203" si="6">IF(EXACT(TRIM(H172), TRIM(I172)), "PASSED", "FAILED")</f>
        <v>PASSED</v>
      </c>
    </row>
    <row r="173" spans="2:12" ht="111" customHeight="1" x14ac:dyDescent="0.35">
      <c r="B173" s="14" t="s">
        <v>983</v>
      </c>
      <c r="C173" s="11" t="s">
        <v>533</v>
      </c>
      <c r="D173" s="11" t="s">
        <v>534</v>
      </c>
      <c r="E173" s="11" t="s">
        <v>984</v>
      </c>
      <c r="F173" s="12" t="s">
        <v>985</v>
      </c>
      <c r="G173" s="11" t="s">
        <v>981</v>
      </c>
      <c r="H173" s="11" t="s">
        <v>987</v>
      </c>
      <c r="I173" s="12" t="s">
        <v>987</v>
      </c>
      <c r="J173" s="13"/>
      <c r="K173" s="13"/>
      <c r="L173" s="14" t="str">
        <f t="shared" si="6"/>
        <v>PASSED</v>
      </c>
    </row>
    <row r="174" spans="2:12" ht="111.5" customHeight="1" x14ac:dyDescent="0.35">
      <c r="B174" s="14" t="s">
        <v>988</v>
      </c>
      <c r="C174" s="11" t="s">
        <v>533</v>
      </c>
      <c r="D174" s="11" t="s">
        <v>534</v>
      </c>
      <c r="E174" s="12" t="s">
        <v>989</v>
      </c>
      <c r="F174" s="12" t="s">
        <v>990</v>
      </c>
      <c r="G174" s="11" t="s">
        <v>986</v>
      </c>
      <c r="H174" s="11" t="s">
        <v>992</v>
      </c>
      <c r="I174" s="11" t="s">
        <v>992</v>
      </c>
      <c r="J174" s="13"/>
      <c r="K174" s="13"/>
      <c r="L174" s="14" t="str">
        <f t="shared" si="6"/>
        <v>PASSED</v>
      </c>
    </row>
    <row r="175" spans="2:12" ht="108" customHeight="1" x14ac:dyDescent="0.35">
      <c r="B175" s="14" t="s">
        <v>993</v>
      </c>
      <c r="C175" s="11" t="s">
        <v>533</v>
      </c>
      <c r="D175" s="11" t="s">
        <v>534</v>
      </c>
      <c r="E175" s="12" t="s">
        <v>994</v>
      </c>
      <c r="F175" s="12" t="s">
        <v>995</v>
      </c>
      <c r="G175" s="11" t="s">
        <v>991</v>
      </c>
      <c r="H175" s="11" t="s">
        <v>997</v>
      </c>
      <c r="I175" s="11" t="s">
        <v>997</v>
      </c>
      <c r="J175" s="13"/>
      <c r="K175" s="13"/>
      <c r="L175" s="14" t="str">
        <f t="shared" si="6"/>
        <v>PASSED</v>
      </c>
    </row>
    <row r="176" spans="2:12" ht="100.5" customHeight="1" x14ac:dyDescent="0.35">
      <c r="B176" s="14" t="s">
        <v>998</v>
      </c>
      <c r="C176" s="11" t="s">
        <v>533</v>
      </c>
      <c r="D176" s="11" t="s">
        <v>534</v>
      </c>
      <c r="E176" s="11" t="s">
        <v>999</v>
      </c>
      <c r="F176" s="12" t="s">
        <v>1000</v>
      </c>
      <c r="G176" s="11" t="s">
        <v>996</v>
      </c>
      <c r="H176" s="11" t="s">
        <v>1002</v>
      </c>
      <c r="I176" s="11" t="s">
        <v>1002</v>
      </c>
      <c r="J176" s="13"/>
      <c r="K176" s="13"/>
      <c r="L176" s="14" t="str">
        <f t="shared" si="6"/>
        <v>PASSED</v>
      </c>
    </row>
    <row r="177" spans="2:12" ht="117.5" customHeight="1" x14ac:dyDescent="0.35">
      <c r="B177" s="14" t="s">
        <v>1003</v>
      </c>
      <c r="C177" s="11" t="s">
        <v>533</v>
      </c>
      <c r="D177" s="11" t="s">
        <v>534</v>
      </c>
      <c r="E177" s="12" t="s">
        <v>1004</v>
      </c>
      <c r="F177" s="12" t="s">
        <v>1005</v>
      </c>
      <c r="G177" s="11" t="s">
        <v>1001</v>
      </c>
      <c r="H177" s="11" t="s">
        <v>1007</v>
      </c>
      <c r="I177" s="11" t="s">
        <v>1007</v>
      </c>
      <c r="J177" s="13"/>
      <c r="K177" s="13"/>
      <c r="L177" s="14" t="str">
        <f t="shared" si="6"/>
        <v>PASSED</v>
      </c>
    </row>
    <row r="178" spans="2:12" ht="109" customHeight="1" x14ac:dyDescent="0.35">
      <c r="B178" s="14" t="s">
        <v>1008</v>
      </c>
      <c r="C178" s="11" t="s">
        <v>533</v>
      </c>
      <c r="D178" s="11" t="s">
        <v>534</v>
      </c>
      <c r="E178" s="11" t="s">
        <v>1009</v>
      </c>
      <c r="F178" s="12" t="s">
        <v>1010</v>
      </c>
      <c r="G178" s="11" t="s">
        <v>1006</v>
      </c>
      <c r="H178" s="11" t="s">
        <v>1012</v>
      </c>
      <c r="I178" s="11" t="s">
        <v>1012</v>
      </c>
      <c r="J178" s="13"/>
      <c r="K178" s="13"/>
      <c r="L178" s="14" t="str">
        <f t="shared" si="6"/>
        <v>PASSED</v>
      </c>
    </row>
    <row r="179" spans="2:12" ht="112" customHeight="1" x14ac:dyDescent="0.35">
      <c r="B179" s="14" t="s">
        <v>1013</v>
      </c>
      <c r="C179" s="11" t="s">
        <v>533</v>
      </c>
      <c r="D179" s="11" t="s">
        <v>534</v>
      </c>
      <c r="E179" s="11" t="s">
        <v>1014</v>
      </c>
      <c r="F179" s="12" t="s">
        <v>1015</v>
      </c>
      <c r="G179" s="11" t="s">
        <v>1011</v>
      </c>
      <c r="H179" s="11" t="s">
        <v>1017</v>
      </c>
      <c r="I179" s="11" t="s">
        <v>1017</v>
      </c>
      <c r="J179" s="13"/>
      <c r="K179" s="13"/>
      <c r="L179" s="14" t="str">
        <f t="shared" si="6"/>
        <v>PASSED</v>
      </c>
    </row>
    <row r="180" spans="2:12" ht="124" customHeight="1" x14ac:dyDescent="0.35">
      <c r="B180" s="14" t="s">
        <v>1018</v>
      </c>
      <c r="C180" s="11" t="s">
        <v>533</v>
      </c>
      <c r="D180" s="11" t="s">
        <v>534</v>
      </c>
      <c r="E180" s="11" t="s">
        <v>1019</v>
      </c>
      <c r="F180" s="12" t="s">
        <v>1020</v>
      </c>
      <c r="G180" s="12" t="s">
        <v>1016</v>
      </c>
      <c r="H180" s="11" t="s">
        <v>1022</v>
      </c>
      <c r="I180" s="11" t="s">
        <v>1022</v>
      </c>
      <c r="J180" s="13"/>
      <c r="K180" s="13"/>
      <c r="L180" s="14" t="str">
        <f t="shared" si="6"/>
        <v>PASSED</v>
      </c>
    </row>
    <row r="181" spans="2:12" ht="119" customHeight="1" x14ac:dyDescent="0.35">
      <c r="B181" s="14" t="s">
        <v>1023</v>
      </c>
      <c r="C181" s="11" t="s">
        <v>533</v>
      </c>
      <c r="D181" s="11" t="s">
        <v>534</v>
      </c>
      <c r="E181" s="11" t="s">
        <v>1024</v>
      </c>
      <c r="F181" s="12" t="s">
        <v>1025</v>
      </c>
      <c r="G181" s="11" t="s">
        <v>1021</v>
      </c>
      <c r="H181" s="12" t="s">
        <v>1027</v>
      </c>
      <c r="I181" s="11" t="s">
        <v>1027</v>
      </c>
      <c r="J181" s="13"/>
      <c r="K181" s="13"/>
      <c r="L181" s="14" t="str">
        <f t="shared" si="6"/>
        <v>PASSED</v>
      </c>
    </row>
    <row r="182" spans="2:12" ht="110.5" customHeight="1" x14ac:dyDescent="0.35">
      <c r="B182" s="14" t="s">
        <v>1028</v>
      </c>
      <c r="C182" s="11" t="s">
        <v>533</v>
      </c>
      <c r="D182" s="11" t="s">
        <v>534</v>
      </c>
      <c r="E182" s="11" t="s">
        <v>1029</v>
      </c>
      <c r="F182" s="12" t="s">
        <v>1030</v>
      </c>
      <c r="G182" s="11" t="s">
        <v>1026</v>
      </c>
      <c r="H182" s="11" t="s">
        <v>1032</v>
      </c>
      <c r="I182" s="11" t="s">
        <v>1032</v>
      </c>
      <c r="J182" s="13"/>
      <c r="K182" s="13"/>
      <c r="L182" s="14" t="str">
        <f t="shared" si="6"/>
        <v>PASSED</v>
      </c>
    </row>
    <row r="183" spans="2:12" ht="108" customHeight="1" x14ac:dyDescent="0.35">
      <c r="B183" s="14" t="s">
        <v>1033</v>
      </c>
      <c r="C183" s="11" t="s">
        <v>533</v>
      </c>
      <c r="D183" s="11" t="s">
        <v>534</v>
      </c>
      <c r="E183" s="12" t="s">
        <v>1034</v>
      </c>
      <c r="F183" s="12" t="s">
        <v>1035</v>
      </c>
      <c r="G183" s="11" t="s">
        <v>1031</v>
      </c>
      <c r="H183" s="11" t="s">
        <v>1037</v>
      </c>
      <c r="I183" s="11" t="s">
        <v>1037</v>
      </c>
      <c r="J183" s="13"/>
      <c r="K183" s="13"/>
      <c r="L183" s="14" t="str">
        <f t="shared" si="6"/>
        <v>PASSED</v>
      </c>
    </row>
    <row r="184" spans="2:12" ht="119" customHeight="1" x14ac:dyDescent="0.35">
      <c r="B184" s="14" t="s">
        <v>1038</v>
      </c>
      <c r="C184" s="11" t="s">
        <v>533</v>
      </c>
      <c r="D184" s="11" t="s">
        <v>534</v>
      </c>
      <c r="E184" s="11" t="s">
        <v>1039</v>
      </c>
      <c r="F184" s="12" t="s">
        <v>1040</v>
      </c>
      <c r="G184" s="11" t="s">
        <v>1036</v>
      </c>
      <c r="H184" s="11" t="s">
        <v>1042</v>
      </c>
      <c r="I184" s="11" t="s">
        <v>1042</v>
      </c>
      <c r="J184" s="13"/>
      <c r="K184" s="13"/>
      <c r="L184" s="14" t="str">
        <f t="shared" si="6"/>
        <v>PASSED</v>
      </c>
    </row>
    <row r="185" spans="2:12" ht="99" customHeight="1" x14ac:dyDescent="0.35">
      <c r="B185" s="14" t="s">
        <v>1043</v>
      </c>
      <c r="C185" s="11" t="s">
        <v>533</v>
      </c>
      <c r="D185" s="11" t="s">
        <v>534</v>
      </c>
      <c r="E185" s="11" t="s">
        <v>1044</v>
      </c>
      <c r="F185" s="15" t="s">
        <v>1045</v>
      </c>
      <c r="G185" s="11" t="s">
        <v>1041</v>
      </c>
      <c r="H185" s="11" t="s">
        <v>1047</v>
      </c>
      <c r="I185" s="11" t="s">
        <v>1047</v>
      </c>
      <c r="J185" s="13"/>
      <c r="K185" s="13"/>
      <c r="L185" s="14" t="str">
        <f t="shared" si="6"/>
        <v>PASSED</v>
      </c>
    </row>
    <row r="186" spans="2:12" ht="102.5" customHeight="1" x14ac:dyDescent="0.35">
      <c r="B186" s="14" t="s">
        <v>1048</v>
      </c>
      <c r="C186" s="11" t="s">
        <v>533</v>
      </c>
      <c r="D186" s="11" t="s">
        <v>534</v>
      </c>
      <c r="E186" s="11" t="s">
        <v>1049</v>
      </c>
      <c r="F186" s="12" t="s">
        <v>1050</v>
      </c>
      <c r="G186" s="11" t="s">
        <v>1046</v>
      </c>
      <c r="H186" s="11" t="s">
        <v>1052</v>
      </c>
      <c r="I186" s="11" t="s">
        <v>1052</v>
      </c>
      <c r="J186" s="13"/>
      <c r="K186" s="13"/>
      <c r="L186" s="14" t="str">
        <f t="shared" si="6"/>
        <v>PASSED</v>
      </c>
    </row>
    <row r="187" spans="2:12" ht="117" customHeight="1" x14ac:dyDescent="0.35">
      <c r="B187" s="14" t="s">
        <v>1053</v>
      </c>
      <c r="C187" s="11" t="s">
        <v>533</v>
      </c>
      <c r="D187" s="11" t="s">
        <v>534</v>
      </c>
      <c r="E187" s="11" t="s">
        <v>1054</v>
      </c>
      <c r="F187" s="12" t="s">
        <v>1055</v>
      </c>
      <c r="G187" s="11" t="s">
        <v>1051</v>
      </c>
      <c r="H187" s="11" t="s">
        <v>1057</v>
      </c>
      <c r="I187" s="11" t="s">
        <v>1057</v>
      </c>
      <c r="J187" s="13"/>
      <c r="K187" s="13"/>
      <c r="L187" s="14" t="str">
        <f t="shared" si="6"/>
        <v>PASSED</v>
      </c>
    </row>
    <row r="188" spans="2:12" ht="114" customHeight="1" x14ac:dyDescent="0.35">
      <c r="B188" s="14" t="s">
        <v>1058</v>
      </c>
      <c r="C188" s="11" t="s">
        <v>533</v>
      </c>
      <c r="D188" s="11" t="s">
        <v>534</v>
      </c>
      <c r="E188" s="11" t="s">
        <v>1059</v>
      </c>
      <c r="F188" s="12" t="s">
        <v>1060</v>
      </c>
      <c r="G188" s="11" t="s">
        <v>1056</v>
      </c>
      <c r="H188" s="11" t="s">
        <v>1062</v>
      </c>
      <c r="I188" s="11" t="s">
        <v>1062</v>
      </c>
      <c r="J188" s="13"/>
      <c r="K188" s="13"/>
      <c r="L188" s="14" t="str">
        <f t="shared" si="6"/>
        <v>PASSED</v>
      </c>
    </row>
    <row r="189" spans="2:12" ht="108.5" customHeight="1" x14ac:dyDescent="0.35">
      <c r="B189" s="14" t="s">
        <v>1063</v>
      </c>
      <c r="C189" s="11" t="s">
        <v>533</v>
      </c>
      <c r="D189" s="11" t="s">
        <v>534</v>
      </c>
      <c r="E189" s="11" t="s">
        <v>1064</v>
      </c>
      <c r="F189" s="12" t="s">
        <v>1065</v>
      </c>
      <c r="G189" s="11" t="s">
        <v>1061</v>
      </c>
      <c r="H189" s="11" t="s">
        <v>1066</v>
      </c>
      <c r="I189" s="11" t="s">
        <v>1066</v>
      </c>
      <c r="J189" s="13"/>
      <c r="K189" s="13"/>
      <c r="L189" s="14" t="str">
        <f t="shared" si="6"/>
        <v>PASSED</v>
      </c>
    </row>
    <row r="190" spans="2:12" ht="110.5" customHeight="1" x14ac:dyDescent="0.35">
      <c r="B190" s="14" t="s">
        <v>1067</v>
      </c>
      <c r="C190" s="11" t="s">
        <v>533</v>
      </c>
      <c r="D190" s="11" t="s">
        <v>534</v>
      </c>
      <c r="E190" s="11" t="s">
        <v>1068</v>
      </c>
      <c r="F190" s="12" t="s">
        <v>1069</v>
      </c>
      <c r="G190" s="11" t="s">
        <v>1070</v>
      </c>
      <c r="H190" s="11" t="s">
        <v>1071</v>
      </c>
      <c r="I190" s="11" t="s">
        <v>1071</v>
      </c>
      <c r="J190" s="13"/>
      <c r="K190" s="13"/>
      <c r="L190" s="14" t="str">
        <f t="shared" si="6"/>
        <v>PASSED</v>
      </c>
    </row>
    <row r="191" spans="2:12" ht="100.5" customHeight="1" x14ac:dyDescent="0.35">
      <c r="B191" s="14" t="s">
        <v>1072</v>
      </c>
      <c r="C191" s="11" t="s">
        <v>533</v>
      </c>
      <c r="D191" s="11" t="s">
        <v>534</v>
      </c>
      <c r="E191" s="11" t="s">
        <v>1073</v>
      </c>
      <c r="F191" s="12" t="s">
        <v>1074</v>
      </c>
      <c r="G191" s="11" t="s">
        <v>1075</v>
      </c>
      <c r="H191" s="11" t="s">
        <v>1076</v>
      </c>
      <c r="I191" s="11" t="s">
        <v>1076</v>
      </c>
      <c r="J191" s="13"/>
      <c r="K191" s="13"/>
      <c r="L191" s="14" t="str">
        <f t="shared" si="6"/>
        <v>PASSED</v>
      </c>
    </row>
    <row r="192" spans="2:12" ht="119" customHeight="1" x14ac:dyDescent="0.35">
      <c r="B192" s="14" t="s">
        <v>1077</v>
      </c>
      <c r="C192" s="11" t="s">
        <v>533</v>
      </c>
      <c r="D192" s="11" t="s">
        <v>534</v>
      </c>
      <c r="E192" s="11" t="s">
        <v>1078</v>
      </c>
      <c r="F192" s="12" t="s">
        <v>1079</v>
      </c>
      <c r="G192" s="11" t="s">
        <v>1080</v>
      </c>
      <c r="H192" s="11" t="s">
        <v>1081</v>
      </c>
      <c r="I192" s="11" t="s">
        <v>1081</v>
      </c>
      <c r="J192" s="13"/>
      <c r="K192" s="13"/>
      <c r="L192" s="14" t="str">
        <f t="shared" si="6"/>
        <v>PASSED</v>
      </c>
    </row>
    <row r="193" spans="2:12" ht="100" customHeight="1" x14ac:dyDescent="0.35">
      <c r="B193" s="14" t="s">
        <v>1082</v>
      </c>
      <c r="C193" s="11" t="s">
        <v>533</v>
      </c>
      <c r="D193" s="11" t="s">
        <v>534</v>
      </c>
      <c r="E193" s="11" t="s">
        <v>1083</v>
      </c>
      <c r="F193" s="12" t="s">
        <v>1084</v>
      </c>
      <c r="G193" s="11" t="s">
        <v>1085</v>
      </c>
      <c r="H193" s="11" t="s">
        <v>1086</v>
      </c>
      <c r="I193" s="11" t="s">
        <v>1086</v>
      </c>
      <c r="J193" s="13"/>
      <c r="K193" s="13"/>
      <c r="L193" s="14" t="str">
        <f t="shared" si="6"/>
        <v>PASSED</v>
      </c>
    </row>
    <row r="194" spans="2:12" ht="101.5" customHeight="1" x14ac:dyDescent="0.35">
      <c r="B194" s="14" t="s">
        <v>1087</v>
      </c>
      <c r="C194" s="11" t="s">
        <v>533</v>
      </c>
      <c r="D194" s="11" t="s">
        <v>534</v>
      </c>
      <c r="E194" s="11" t="s">
        <v>1088</v>
      </c>
      <c r="F194" s="12" t="s">
        <v>1089</v>
      </c>
      <c r="G194" s="11" t="s">
        <v>1090</v>
      </c>
      <c r="H194" s="11" t="s">
        <v>1091</v>
      </c>
      <c r="I194" s="11" t="s">
        <v>1091</v>
      </c>
      <c r="J194" s="13"/>
      <c r="K194" s="13"/>
      <c r="L194" s="14" t="str">
        <f t="shared" si="6"/>
        <v>PASSED</v>
      </c>
    </row>
    <row r="195" spans="2:12" ht="118.5" customHeight="1" x14ac:dyDescent="0.35">
      <c r="B195" s="14" t="s">
        <v>1092</v>
      </c>
      <c r="C195" s="11" t="s">
        <v>533</v>
      </c>
      <c r="D195" s="11" t="s">
        <v>534</v>
      </c>
      <c r="E195" s="11" t="s">
        <v>1093</v>
      </c>
      <c r="F195" s="12" t="s">
        <v>1094</v>
      </c>
      <c r="G195" s="11" t="s">
        <v>1095</v>
      </c>
      <c r="H195" s="11" t="s">
        <v>1096</v>
      </c>
      <c r="I195" s="11" t="s">
        <v>1096</v>
      </c>
      <c r="J195" s="13"/>
      <c r="K195" s="13"/>
      <c r="L195" s="14" t="str">
        <f t="shared" si="6"/>
        <v>PASSED</v>
      </c>
    </row>
    <row r="196" spans="2:12" ht="99.5" customHeight="1" x14ac:dyDescent="0.35">
      <c r="B196" s="14" t="s">
        <v>1097</v>
      </c>
      <c r="C196" s="11" t="s">
        <v>533</v>
      </c>
      <c r="D196" s="11" t="s">
        <v>534</v>
      </c>
      <c r="E196" s="11" t="s">
        <v>1098</v>
      </c>
      <c r="F196" s="12" t="s">
        <v>1099</v>
      </c>
      <c r="G196" s="11" t="s">
        <v>1100</v>
      </c>
      <c r="H196" s="11" t="s">
        <v>1101</v>
      </c>
      <c r="I196" s="11" t="s">
        <v>1101</v>
      </c>
      <c r="J196" s="13"/>
      <c r="K196" s="13"/>
      <c r="L196" s="14" t="str">
        <f t="shared" si="6"/>
        <v>PASSED</v>
      </c>
    </row>
    <row r="197" spans="2:12" ht="104" customHeight="1" x14ac:dyDescent="0.35">
      <c r="B197" s="14" t="s">
        <v>1102</v>
      </c>
      <c r="C197" s="11" t="s">
        <v>533</v>
      </c>
      <c r="D197" s="11" t="s">
        <v>534</v>
      </c>
      <c r="E197" s="11" t="s">
        <v>1103</v>
      </c>
      <c r="F197" s="12" t="s">
        <v>1104</v>
      </c>
      <c r="G197" s="11" t="s">
        <v>1105</v>
      </c>
      <c r="H197" s="11" t="s">
        <v>1106</v>
      </c>
      <c r="I197" s="11" t="s">
        <v>1106</v>
      </c>
      <c r="J197" s="13"/>
      <c r="K197" s="13"/>
      <c r="L197" s="14" t="str">
        <f t="shared" si="6"/>
        <v>PASSED</v>
      </c>
    </row>
    <row r="198" spans="2:12" ht="96.5" customHeight="1" x14ac:dyDescent="0.35">
      <c r="B198" s="14" t="s">
        <v>1107</v>
      </c>
      <c r="C198" s="11" t="s">
        <v>533</v>
      </c>
      <c r="D198" s="11" t="s">
        <v>534</v>
      </c>
      <c r="E198" s="11" t="s">
        <v>1108</v>
      </c>
      <c r="F198" s="12" t="s">
        <v>1109</v>
      </c>
      <c r="G198" s="11" t="s">
        <v>1110</v>
      </c>
      <c r="H198" s="11" t="s">
        <v>1111</v>
      </c>
      <c r="I198" s="11" t="s">
        <v>1111</v>
      </c>
      <c r="J198" s="13"/>
      <c r="K198" s="13"/>
      <c r="L198" s="14" t="str">
        <f t="shared" si="6"/>
        <v>PASSED</v>
      </c>
    </row>
    <row r="199" spans="2:12" ht="120" customHeight="1" x14ac:dyDescent="0.35">
      <c r="B199" s="14" t="s">
        <v>1112</v>
      </c>
      <c r="C199" s="11" t="s">
        <v>533</v>
      </c>
      <c r="D199" s="11" t="s">
        <v>534</v>
      </c>
      <c r="E199" s="11" t="s">
        <v>1113</v>
      </c>
      <c r="F199" s="12" t="s">
        <v>1114</v>
      </c>
      <c r="G199" s="11" t="s">
        <v>1115</v>
      </c>
      <c r="H199" s="11" t="s">
        <v>1116</v>
      </c>
      <c r="I199" s="11" t="s">
        <v>1116</v>
      </c>
      <c r="J199" s="13"/>
      <c r="K199" s="13"/>
      <c r="L199" s="14" t="str">
        <f t="shared" si="6"/>
        <v>PASSED</v>
      </c>
    </row>
    <row r="200" spans="2:12" ht="138" customHeight="1" x14ac:dyDescent="0.35">
      <c r="B200" s="14" t="s">
        <v>1117</v>
      </c>
      <c r="C200" s="11" t="s">
        <v>533</v>
      </c>
      <c r="D200" s="11" t="s">
        <v>534</v>
      </c>
      <c r="E200" s="11" t="s">
        <v>1118</v>
      </c>
      <c r="F200" s="12" t="s">
        <v>1119</v>
      </c>
      <c r="G200" s="11" t="s">
        <v>1120</v>
      </c>
      <c r="H200" s="11" t="s">
        <v>1121</v>
      </c>
      <c r="I200" s="11" t="s">
        <v>1121</v>
      </c>
      <c r="J200" s="13"/>
      <c r="K200" s="13"/>
      <c r="L200" s="14" t="str">
        <f t="shared" si="6"/>
        <v>PASSED</v>
      </c>
    </row>
    <row r="201" spans="2:12" ht="108.5" customHeight="1" x14ac:dyDescent="0.35">
      <c r="B201" s="14" t="s">
        <v>1122</v>
      </c>
      <c r="C201" s="11" t="s">
        <v>533</v>
      </c>
      <c r="D201" s="11" t="s">
        <v>534</v>
      </c>
      <c r="E201" s="11" t="s">
        <v>1123</v>
      </c>
      <c r="F201" s="12" t="s">
        <v>1124</v>
      </c>
      <c r="G201" s="11" t="s">
        <v>1125</v>
      </c>
      <c r="H201" s="11" t="s">
        <v>1126</v>
      </c>
      <c r="I201" s="11" t="s">
        <v>1126</v>
      </c>
      <c r="J201" s="13"/>
      <c r="K201" s="13"/>
      <c r="L201" s="14" t="str">
        <f t="shared" si="6"/>
        <v>PASSED</v>
      </c>
    </row>
    <row r="202" spans="2:12" ht="123" customHeight="1" x14ac:dyDescent="0.35">
      <c r="B202" s="14" t="s">
        <v>1127</v>
      </c>
      <c r="C202" s="11" t="s">
        <v>533</v>
      </c>
      <c r="D202" s="11" t="s">
        <v>534</v>
      </c>
      <c r="E202" s="11" t="s">
        <v>1128</v>
      </c>
      <c r="F202" s="12" t="s">
        <v>1129</v>
      </c>
      <c r="G202" s="11" t="s">
        <v>1130</v>
      </c>
      <c r="H202" s="11" t="s">
        <v>1131</v>
      </c>
      <c r="I202" s="11" t="s">
        <v>1131</v>
      </c>
      <c r="J202" s="13"/>
      <c r="K202" s="13"/>
      <c r="L202" s="14" t="str">
        <f t="shared" si="6"/>
        <v>PASSED</v>
      </c>
    </row>
    <row r="203" spans="2:12" ht="112" customHeight="1" x14ac:dyDescent="0.35">
      <c r="B203" s="14" t="s">
        <v>1132</v>
      </c>
      <c r="C203" s="11" t="s">
        <v>533</v>
      </c>
      <c r="D203" s="11" t="s">
        <v>534</v>
      </c>
      <c r="E203" s="11" t="s">
        <v>1133</v>
      </c>
      <c r="F203" s="12" t="s">
        <v>1134</v>
      </c>
      <c r="G203" s="11" t="s">
        <v>1135</v>
      </c>
      <c r="H203" s="11" t="s">
        <v>1136</v>
      </c>
      <c r="I203" s="11" t="s">
        <v>1136</v>
      </c>
      <c r="J203" s="13"/>
      <c r="K203" s="13"/>
      <c r="L203" s="14" t="str">
        <f t="shared" si="6"/>
        <v>PASSED</v>
      </c>
    </row>
    <row r="204" spans="2:12" ht="90" customHeight="1" x14ac:dyDescent="0.35">
      <c r="B204" s="14" t="s">
        <v>1137</v>
      </c>
      <c r="C204" s="11" t="s">
        <v>533</v>
      </c>
      <c r="D204" s="11" t="s">
        <v>534</v>
      </c>
      <c r="E204" s="11" t="s">
        <v>1138</v>
      </c>
      <c r="F204" s="12" t="s">
        <v>1139</v>
      </c>
      <c r="G204" s="11" t="s">
        <v>1140</v>
      </c>
      <c r="H204" s="11" t="s">
        <v>1141</v>
      </c>
      <c r="I204" s="11" t="s">
        <v>1141</v>
      </c>
      <c r="J204" s="13"/>
      <c r="K204" s="13"/>
      <c r="L204" s="14" t="str">
        <f t="shared" ref="L204:L231" si="7">IF(EXACT(TRIM(H204), TRIM(I204)), "PASSED", "FAILED")</f>
        <v>PASSED</v>
      </c>
    </row>
    <row r="205" spans="2:12" ht="108.5" customHeight="1" x14ac:dyDescent="0.35">
      <c r="B205" s="14" t="s">
        <v>1142</v>
      </c>
      <c r="C205" s="11" t="s">
        <v>533</v>
      </c>
      <c r="D205" s="11" t="s">
        <v>534</v>
      </c>
      <c r="E205" s="11" t="s">
        <v>1143</v>
      </c>
      <c r="F205" s="12" t="s">
        <v>1144</v>
      </c>
      <c r="G205" s="11" t="s">
        <v>1145</v>
      </c>
      <c r="H205" s="11" t="s">
        <v>1146</v>
      </c>
      <c r="I205" s="11" t="s">
        <v>1146</v>
      </c>
      <c r="J205" s="13"/>
      <c r="K205" s="13"/>
      <c r="L205" s="14" t="str">
        <f t="shared" si="7"/>
        <v>PASSED</v>
      </c>
    </row>
    <row r="206" spans="2:12" ht="110.5" customHeight="1" x14ac:dyDescent="0.35">
      <c r="B206" s="14" t="s">
        <v>1147</v>
      </c>
      <c r="C206" s="11" t="s">
        <v>533</v>
      </c>
      <c r="D206" s="11" t="s">
        <v>534</v>
      </c>
      <c r="E206" s="11" t="s">
        <v>1148</v>
      </c>
      <c r="F206" s="12" t="s">
        <v>1149</v>
      </c>
      <c r="G206" s="11" t="s">
        <v>1150</v>
      </c>
      <c r="H206" s="11" t="s">
        <v>1151</v>
      </c>
      <c r="I206" s="11" t="s">
        <v>1151</v>
      </c>
      <c r="J206" s="13"/>
      <c r="K206" s="13"/>
      <c r="L206" s="14" t="str">
        <f t="shared" si="7"/>
        <v>PASSED</v>
      </c>
    </row>
    <row r="207" spans="2:12" ht="117" customHeight="1" x14ac:dyDescent="0.35">
      <c r="B207" s="14" t="s">
        <v>1152</v>
      </c>
      <c r="C207" s="11" t="s">
        <v>533</v>
      </c>
      <c r="D207" s="11" t="s">
        <v>534</v>
      </c>
      <c r="E207" s="11" t="s">
        <v>1153</v>
      </c>
      <c r="F207" s="12" t="s">
        <v>1154</v>
      </c>
      <c r="G207" s="11" t="s">
        <v>1155</v>
      </c>
      <c r="H207" s="11" t="s">
        <v>1156</v>
      </c>
      <c r="I207" s="11" t="s">
        <v>1156</v>
      </c>
      <c r="J207" s="13"/>
      <c r="K207" s="13"/>
      <c r="L207" s="14" t="str">
        <f t="shared" si="7"/>
        <v>PASSED</v>
      </c>
    </row>
    <row r="208" spans="2:12" ht="111" customHeight="1" x14ac:dyDescent="0.35">
      <c r="B208" s="14" t="s">
        <v>1157</v>
      </c>
      <c r="C208" s="11" t="s">
        <v>533</v>
      </c>
      <c r="D208" s="11" t="s">
        <v>534</v>
      </c>
      <c r="E208" s="11" t="s">
        <v>1158</v>
      </c>
      <c r="F208" s="12" t="s">
        <v>1159</v>
      </c>
      <c r="G208" s="11" t="s">
        <v>1160</v>
      </c>
      <c r="H208" s="11" t="s">
        <v>1161</v>
      </c>
      <c r="I208" s="11" t="s">
        <v>1161</v>
      </c>
      <c r="J208" s="13"/>
      <c r="K208" s="13"/>
      <c r="L208" s="14" t="str">
        <f t="shared" si="7"/>
        <v>PASSED</v>
      </c>
    </row>
    <row r="209" spans="2:12" ht="73" customHeight="1" x14ac:dyDescent="0.35">
      <c r="B209" s="14" t="s">
        <v>1162</v>
      </c>
      <c r="C209" s="11" t="s">
        <v>533</v>
      </c>
      <c r="D209" s="11" t="s">
        <v>534</v>
      </c>
      <c r="E209" s="11" t="s">
        <v>1163</v>
      </c>
      <c r="F209" s="12" t="s">
        <v>1164</v>
      </c>
      <c r="G209" s="11" t="s">
        <v>1165</v>
      </c>
      <c r="H209" s="11" t="s">
        <v>1166</v>
      </c>
      <c r="I209" s="11" t="s">
        <v>1166</v>
      </c>
      <c r="J209" s="13"/>
      <c r="K209" s="13"/>
      <c r="L209" s="14" t="str">
        <f t="shared" si="7"/>
        <v>PASSED</v>
      </c>
    </row>
    <row r="210" spans="2:12" ht="79.5" customHeight="1" x14ac:dyDescent="0.35">
      <c r="B210" s="14" t="s">
        <v>1167</v>
      </c>
      <c r="C210" s="11" t="s">
        <v>533</v>
      </c>
      <c r="D210" s="11" t="s">
        <v>534</v>
      </c>
      <c r="E210" s="11" t="s">
        <v>1168</v>
      </c>
      <c r="F210" s="12" t="s">
        <v>1169</v>
      </c>
      <c r="G210" s="11" t="s">
        <v>1170</v>
      </c>
      <c r="H210" s="11" t="s">
        <v>1171</v>
      </c>
      <c r="I210" s="11" t="s">
        <v>1171</v>
      </c>
      <c r="J210" s="13"/>
      <c r="K210" s="13"/>
      <c r="L210" s="14" t="str">
        <f t="shared" si="7"/>
        <v>PASSED</v>
      </c>
    </row>
    <row r="211" spans="2:12" ht="76.5" customHeight="1" x14ac:dyDescent="0.35">
      <c r="B211" s="14" t="s">
        <v>1172</v>
      </c>
      <c r="C211" s="11" t="s">
        <v>533</v>
      </c>
      <c r="D211" s="11" t="s">
        <v>534</v>
      </c>
      <c r="E211" s="11" t="s">
        <v>1173</v>
      </c>
      <c r="F211" s="12" t="s">
        <v>1174</v>
      </c>
      <c r="G211" s="11" t="s">
        <v>1175</v>
      </c>
      <c r="H211" s="11" t="s">
        <v>1176</v>
      </c>
      <c r="I211" s="11" t="s">
        <v>1176</v>
      </c>
      <c r="J211" s="13"/>
      <c r="K211" s="13"/>
      <c r="L211" s="14" t="str">
        <f t="shared" si="7"/>
        <v>PASSED</v>
      </c>
    </row>
    <row r="212" spans="2:12" ht="84" customHeight="1" x14ac:dyDescent="0.35">
      <c r="B212" s="14" t="s">
        <v>1177</v>
      </c>
      <c r="C212" s="11" t="s">
        <v>533</v>
      </c>
      <c r="D212" s="11" t="s">
        <v>534</v>
      </c>
      <c r="E212" s="11" t="s">
        <v>1178</v>
      </c>
      <c r="F212" s="12" t="s">
        <v>1179</v>
      </c>
      <c r="G212" s="11" t="s">
        <v>1180</v>
      </c>
      <c r="H212" s="11" t="s">
        <v>1181</v>
      </c>
      <c r="I212" s="11" t="s">
        <v>1181</v>
      </c>
      <c r="J212" s="13"/>
      <c r="K212" s="13"/>
      <c r="L212" s="14" t="str">
        <f t="shared" si="7"/>
        <v>PASSED</v>
      </c>
    </row>
    <row r="213" spans="2:12" ht="74.5" customHeight="1" x14ac:dyDescent="0.35">
      <c r="B213" s="14" t="s">
        <v>1182</v>
      </c>
      <c r="C213" s="11" t="s">
        <v>533</v>
      </c>
      <c r="D213" s="11" t="s">
        <v>534</v>
      </c>
      <c r="E213" s="11" t="s">
        <v>1183</v>
      </c>
      <c r="F213" s="12" t="s">
        <v>1184</v>
      </c>
      <c r="G213" s="11" t="s">
        <v>1185</v>
      </c>
      <c r="H213" s="11" t="s">
        <v>1186</v>
      </c>
      <c r="I213" s="11" t="s">
        <v>1186</v>
      </c>
      <c r="J213" s="13"/>
      <c r="K213" s="13"/>
      <c r="L213" s="14" t="str">
        <f t="shared" si="7"/>
        <v>PASSED</v>
      </c>
    </row>
    <row r="214" spans="2:12" ht="84" customHeight="1" x14ac:dyDescent="0.35">
      <c r="B214" s="14" t="s">
        <v>1187</v>
      </c>
      <c r="C214" s="11" t="s">
        <v>533</v>
      </c>
      <c r="D214" s="11" t="s">
        <v>534</v>
      </c>
      <c r="E214" s="11" t="s">
        <v>1188</v>
      </c>
      <c r="F214" s="12" t="s">
        <v>1189</v>
      </c>
      <c r="G214" s="11" t="s">
        <v>1190</v>
      </c>
      <c r="H214" s="11" t="s">
        <v>1191</v>
      </c>
      <c r="I214" s="11" t="s">
        <v>1191</v>
      </c>
      <c r="J214" s="13"/>
      <c r="K214" s="13"/>
      <c r="L214" s="14" t="str">
        <f t="shared" si="7"/>
        <v>PASSED</v>
      </c>
    </row>
    <row r="215" spans="2:12" ht="82" customHeight="1" x14ac:dyDescent="0.35">
      <c r="B215" s="14" t="s">
        <v>1192</v>
      </c>
      <c r="C215" s="11" t="s">
        <v>533</v>
      </c>
      <c r="D215" s="11" t="s">
        <v>534</v>
      </c>
      <c r="E215" s="11" t="s">
        <v>1193</v>
      </c>
      <c r="F215" s="12" t="s">
        <v>1194</v>
      </c>
      <c r="G215" s="11" t="s">
        <v>1195</v>
      </c>
      <c r="H215" s="11" t="s">
        <v>1196</v>
      </c>
      <c r="I215" s="11" t="s">
        <v>1196</v>
      </c>
      <c r="J215" s="13"/>
      <c r="K215" s="13"/>
      <c r="L215" s="14" t="str">
        <f t="shared" si="7"/>
        <v>PASSED</v>
      </c>
    </row>
    <row r="216" spans="2:12" ht="80" customHeight="1" x14ac:dyDescent="0.35">
      <c r="B216" s="14" t="s">
        <v>1197</v>
      </c>
      <c r="C216" s="11" t="s">
        <v>533</v>
      </c>
      <c r="D216" s="11" t="s">
        <v>534</v>
      </c>
      <c r="E216" s="11" t="s">
        <v>1198</v>
      </c>
      <c r="F216" s="12" t="s">
        <v>1199</v>
      </c>
      <c r="G216" s="11" t="s">
        <v>1200</v>
      </c>
      <c r="H216" s="11" t="s">
        <v>1201</v>
      </c>
      <c r="I216" s="11" t="s">
        <v>1201</v>
      </c>
      <c r="J216" s="13"/>
      <c r="K216" s="13"/>
      <c r="L216" s="14" t="str">
        <f t="shared" si="7"/>
        <v>PASSED</v>
      </c>
    </row>
    <row r="217" spans="2:12" ht="77.5" customHeight="1" x14ac:dyDescent="0.35">
      <c r="B217" s="14" t="s">
        <v>1202</v>
      </c>
      <c r="C217" s="11" t="s">
        <v>533</v>
      </c>
      <c r="D217" s="11" t="s">
        <v>534</v>
      </c>
      <c r="E217" s="11" t="s">
        <v>1203</v>
      </c>
      <c r="F217" s="12" t="s">
        <v>1204</v>
      </c>
      <c r="G217" s="11" t="s">
        <v>1205</v>
      </c>
      <c r="H217" s="11" t="s">
        <v>1206</v>
      </c>
      <c r="I217" s="11" t="s">
        <v>1206</v>
      </c>
      <c r="J217" s="13"/>
      <c r="K217" s="13"/>
      <c r="L217" s="14" t="str">
        <f t="shared" si="7"/>
        <v>PASSED</v>
      </c>
    </row>
    <row r="218" spans="2:12" ht="79.5" customHeight="1" x14ac:dyDescent="0.35">
      <c r="B218" s="14" t="s">
        <v>1207</v>
      </c>
      <c r="C218" s="11" t="s">
        <v>533</v>
      </c>
      <c r="D218" s="11" t="s">
        <v>534</v>
      </c>
      <c r="E218" s="11" t="s">
        <v>1208</v>
      </c>
      <c r="F218" s="12" t="s">
        <v>1209</v>
      </c>
      <c r="G218" s="11" t="s">
        <v>1210</v>
      </c>
      <c r="H218" s="11" t="s">
        <v>1211</v>
      </c>
      <c r="I218" s="11" t="s">
        <v>1211</v>
      </c>
      <c r="J218" s="13"/>
      <c r="K218" s="13"/>
      <c r="L218" s="14" t="str">
        <f t="shared" si="7"/>
        <v>PASSED</v>
      </c>
    </row>
    <row r="219" spans="2:12" ht="75" customHeight="1" x14ac:dyDescent="0.35">
      <c r="B219" s="14" t="s">
        <v>1212</v>
      </c>
      <c r="C219" s="11" t="s">
        <v>533</v>
      </c>
      <c r="D219" s="11" t="s">
        <v>534</v>
      </c>
      <c r="E219" s="11" t="s">
        <v>1213</v>
      </c>
      <c r="F219" s="12" t="s">
        <v>1214</v>
      </c>
      <c r="G219" s="11" t="s">
        <v>1215</v>
      </c>
      <c r="H219" s="11" t="s">
        <v>1216</v>
      </c>
      <c r="I219" s="11" t="s">
        <v>1216</v>
      </c>
      <c r="J219" s="13"/>
      <c r="K219" s="13"/>
      <c r="L219" s="14" t="str">
        <f t="shared" si="7"/>
        <v>PASSED</v>
      </c>
    </row>
    <row r="220" spans="2:12" ht="73" customHeight="1" x14ac:dyDescent="0.35">
      <c r="B220" s="14" t="s">
        <v>1217</v>
      </c>
      <c r="C220" s="11" t="s">
        <v>533</v>
      </c>
      <c r="D220" s="11" t="s">
        <v>534</v>
      </c>
      <c r="E220" s="11" t="s">
        <v>1218</v>
      </c>
      <c r="F220" s="12" t="s">
        <v>1219</v>
      </c>
      <c r="G220" s="11" t="s">
        <v>1220</v>
      </c>
      <c r="H220" s="11" t="s">
        <v>1221</v>
      </c>
      <c r="I220" s="11" t="s">
        <v>1221</v>
      </c>
      <c r="J220" s="13"/>
      <c r="K220" s="13"/>
      <c r="L220" s="14" t="str">
        <f t="shared" si="7"/>
        <v>PASSED</v>
      </c>
    </row>
    <row r="221" spans="2:12" ht="77" customHeight="1" x14ac:dyDescent="0.35">
      <c r="B221" s="14" t="s">
        <v>1222</v>
      </c>
      <c r="C221" s="11" t="s">
        <v>533</v>
      </c>
      <c r="D221" s="11" t="s">
        <v>534</v>
      </c>
      <c r="E221" s="11" t="s">
        <v>1223</v>
      </c>
      <c r="F221" s="12" t="s">
        <v>1224</v>
      </c>
      <c r="G221" s="11" t="s">
        <v>1225</v>
      </c>
      <c r="H221" s="11" t="s">
        <v>1226</v>
      </c>
      <c r="I221" s="11" t="s">
        <v>1226</v>
      </c>
      <c r="J221" s="13"/>
      <c r="K221" s="13"/>
      <c r="L221" s="14" t="str">
        <f t="shared" si="7"/>
        <v>PASSED</v>
      </c>
    </row>
    <row r="222" spans="2:12" ht="79.5" customHeight="1" x14ac:dyDescent="0.35">
      <c r="B222" s="14" t="s">
        <v>1227</v>
      </c>
      <c r="C222" s="11" t="s">
        <v>533</v>
      </c>
      <c r="D222" s="11" t="s">
        <v>534</v>
      </c>
      <c r="E222" s="11" t="s">
        <v>1228</v>
      </c>
      <c r="F222" s="12" t="s">
        <v>1229</v>
      </c>
      <c r="G222" s="11" t="s">
        <v>1230</v>
      </c>
      <c r="H222" s="11" t="s">
        <v>1231</v>
      </c>
      <c r="I222" s="11" t="s">
        <v>1231</v>
      </c>
      <c r="J222" s="13"/>
      <c r="K222" s="13"/>
      <c r="L222" s="14" t="str">
        <f t="shared" si="7"/>
        <v>PASSED</v>
      </c>
    </row>
    <row r="223" spans="2:12" ht="77" customHeight="1" x14ac:dyDescent="0.35">
      <c r="B223" s="14" t="s">
        <v>1232</v>
      </c>
      <c r="C223" s="11" t="s">
        <v>533</v>
      </c>
      <c r="D223" s="11" t="s">
        <v>534</v>
      </c>
      <c r="E223" s="11" t="s">
        <v>1233</v>
      </c>
      <c r="F223" s="12" t="s">
        <v>1234</v>
      </c>
      <c r="G223" s="11" t="s">
        <v>1235</v>
      </c>
      <c r="H223" s="11" t="s">
        <v>1236</v>
      </c>
      <c r="I223" s="11" t="s">
        <v>1236</v>
      </c>
      <c r="J223" s="13"/>
      <c r="K223" s="13"/>
      <c r="L223" s="14" t="str">
        <f t="shared" si="7"/>
        <v>PASSED</v>
      </c>
    </row>
    <row r="224" spans="2:12" ht="117.5" customHeight="1" x14ac:dyDescent="0.35">
      <c r="B224" s="14" t="s">
        <v>1237</v>
      </c>
      <c r="C224" s="11" t="s">
        <v>533</v>
      </c>
      <c r="D224" s="11" t="s">
        <v>534</v>
      </c>
      <c r="E224" s="11" t="s">
        <v>1238</v>
      </c>
      <c r="F224" s="12" t="s">
        <v>1239</v>
      </c>
      <c r="G224" s="11" t="s">
        <v>1240</v>
      </c>
      <c r="H224" s="11" t="s">
        <v>1241</v>
      </c>
      <c r="I224" s="11" t="s">
        <v>1241</v>
      </c>
      <c r="J224" s="13"/>
      <c r="K224" s="13"/>
      <c r="L224" s="14" t="str">
        <f t="shared" si="7"/>
        <v>PASSED</v>
      </c>
    </row>
    <row r="225" spans="2:12" ht="110" customHeight="1" x14ac:dyDescent="0.35">
      <c r="B225" s="14" t="s">
        <v>1242</v>
      </c>
      <c r="C225" s="11" t="s">
        <v>533</v>
      </c>
      <c r="D225" s="11" t="s">
        <v>534</v>
      </c>
      <c r="E225" s="11" t="s">
        <v>1243</v>
      </c>
      <c r="F225" s="12" t="s">
        <v>1244</v>
      </c>
      <c r="G225" s="11" t="s">
        <v>1245</v>
      </c>
      <c r="H225" s="11" t="s">
        <v>1246</v>
      </c>
      <c r="I225" s="11" t="s">
        <v>1246</v>
      </c>
      <c r="J225" s="13"/>
      <c r="K225" s="13"/>
      <c r="L225" s="14" t="str">
        <f t="shared" si="7"/>
        <v>PASSED</v>
      </c>
    </row>
    <row r="226" spans="2:12" ht="102" customHeight="1" x14ac:dyDescent="0.35">
      <c r="B226" s="14" t="s">
        <v>1247</v>
      </c>
      <c r="C226" s="11" t="s">
        <v>533</v>
      </c>
      <c r="D226" s="11" t="s">
        <v>534</v>
      </c>
      <c r="E226" s="11" t="s">
        <v>1248</v>
      </c>
      <c r="F226" s="12" t="s">
        <v>1249</v>
      </c>
      <c r="G226" s="11" t="s">
        <v>1250</v>
      </c>
      <c r="H226" s="11" t="s">
        <v>1251</v>
      </c>
      <c r="I226" s="11" t="s">
        <v>1251</v>
      </c>
      <c r="J226" s="13"/>
      <c r="K226" s="13"/>
      <c r="L226" s="14" t="str">
        <f t="shared" si="7"/>
        <v>PASSED</v>
      </c>
    </row>
    <row r="227" spans="2:12" ht="122" customHeight="1" x14ac:dyDescent="0.35">
      <c r="B227" s="14" t="s">
        <v>1252</v>
      </c>
      <c r="C227" s="11" t="s">
        <v>533</v>
      </c>
      <c r="D227" s="11" t="s">
        <v>534</v>
      </c>
      <c r="E227" s="11" t="s">
        <v>1253</v>
      </c>
      <c r="F227" s="12" t="s">
        <v>1254</v>
      </c>
      <c r="G227" s="11" t="s">
        <v>1255</v>
      </c>
      <c r="H227" s="11" t="s">
        <v>1256</v>
      </c>
      <c r="I227" s="11" t="s">
        <v>1256</v>
      </c>
      <c r="J227" s="13"/>
      <c r="K227" s="13"/>
      <c r="L227" s="14" t="str">
        <f t="shared" si="7"/>
        <v>PASSED</v>
      </c>
    </row>
    <row r="228" spans="2:12" ht="113" customHeight="1" x14ac:dyDescent="0.35">
      <c r="B228" s="14" t="s">
        <v>1257</v>
      </c>
      <c r="C228" s="11" t="s">
        <v>533</v>
      </c>
      <c r="D228" s="11" t="s">
        <v>534</v>
      </c>
      <c r="E228" s="11" t="s">
        <v>1258</v>
      </c>
      <c r="F228" s="12" t="s">
        <v>1259</v>
      </c>
      <c r="G228" s="11" t="s">
        <v>1260</v>
      </c>
      <c r="H228" s="11" t="s">
        <v>1261</v>
      </c>
      <c r="I228" s="11" t="s">
        <v>1261</v>
      </c>
      <c r="J228" s="13"/>
      <c r="K228" s="13"/>
      <c r="L228" s="14" t="str">
        <f t="shared" si="7"/>
        <v>PASSED</v>
      </c>
    </row>
    <row r="229" spans="2:12" ht="113.5" customHeight="1" x14ac:dyDescent="0.35">
      <c r="B229" s="14" t="s">
        <v>1262</v>
      </c>
      <c r="C229" s="11" t="s">
        <v>533</v>
      </c>
      <c r="D229" s="11" t="s">
        <v>534</v>
      </c>
      <c r="E229" s="11" t="s">
        <v>1263</v>
      </c>
      <c r="F229" s="12" t="s">
        <v>1264</v>
      </c>
      <c r="G229" s="11" t="s">
        <v>1265</v>
      </c>
      <c r="H229" s="11" t="s">
        <v>1266</v>
      </c>
      <c r="I229" s="11" t="s">
        <v>1266</v>
      </c>
      <c r="J229" s="13"/>
      <c r="K229" s="13"/>
      <c r="L229" s="14" t="str">
        <f t="shared" si="7"/>
        <v>PASSED</v>
      </c>
    </row>
    <row r="230" spans="2:12" ht="108" customHeight="1" x14ac:dyDescent="0.35">
      <c r="B230" s="14" t="s">
        <v>1267</v>
      </c>
      <c r="C230" s="11" t="s">
        <v>533</v>
      </c>
      <c r="D230" s="11" t="s">
        <v>534</v>
      </c>
      <c r="E230" s="11" t="s">
        <v>1268</v>
      </c>
      <c r="F230" s="12" t="s">
        <v>1269</v>
      </c>
      <c r="G230" s="11" t="s">
        <v>1270</v>
      </c>
      <c r="H230" s="11" t="s">
        <v>1271</v>
      </c>
      <c r="I230" s="11" t="s">
        <v>1271</v>
      </c>
      <c r="J230" s="13"/>
      <c r="K230" s="13"/>
      <c r="L230" s="14" t="str">
        <f t="shared" si="7"/>
        <v>PASSED</v>
      </c>
    </row>
    <row r="231" spans="2:12" ht="107" customHeight="1" x14ac:dyDescent="0.35">
      <c r="B231" s="14" t="s">
        <v>1272</v>
      </c>
      <c r="C231" s="11" t="s">
        <v>533</v>
      </c>
      <c r="D231" s="11" t="s">
        <v>534</v>
      </c>
      <c r="E231" s="11" t="s">
        <v>1273</v>
      </c>
      <c r="F231" s="12" t="s">
        <v>1274</v>
      </c>
      <c r="G231" s="19" t="s">
        <v>1275</v>
      </c>
      <c r="H231" s="11" t="s">
        <v>1276</v>
      </c>
      <c r="I231" s="11" t="s">
        <v>1276</v>
      </c>
      <c r="J231" s="13"/>
      <c r="K231" s="13"/>
      <c r="L231" s="30" t="str">
        <f t="shared" si="7"/>
        <v>PASSED</v>
      </c>
    </row>
    <row r="232" spans="2:12" ht="42" customHeight="1" x14ac:dyDescent="0.35">
      <c r="B232" s="54" t="s">
        <v>1333</v>
      </c>
      <c r="C232" s="50"/>
      <c r="D232" s="50"/>
      <c r="E232" s="50"/>
      <c r="F232" s="50"/>
      <c r="G232" s="50"/>
      <c r="H232" s="50"/>
      <c r="I232" s="50"/>
      <c r="J232" s="50"/>
      <c r="K232" s="50"/>
      <c r="L232" s="50"/>
    </row>
    <row r="233" spans="2:12" ht="128" customHeight="1" x14ac:dyDescent="0.35">
      <c r="B233" s="25" t="s">
        <v>1277</v>
      </c>
      <c r="C233" s="21" t="s">
        <v>1278</v>
      </c>
      <c r="D233" s="22" t="s">
        <v>1279</v>
      </c>
      <c r="E233" s="23" t="s">
        <v>1280</v>
      </c>
      <c r="F233" s="24" t="s">
        <v>1281</v>
      </c>
      <c r="G233" s="21" t="s">
        <v>1282</v>
      </c>
      <c r="H233" s="26" t="s">
        <v>1283</v>
      </c>
      <c r="I233" s="26" t="s">
        <v>1283</v>
      </c>
      <c r="L233" s="30" t="str">
        <f t="shared" ref="L233:L238" si="8">IF(EXACT(TRIM(H233), TRIM(I233)), "PASSED", "FAILED")</f>
        <v>PASSED</v>
      </c>
    </row>
    <row r="234" spans="2:12" ht="138.5" customHeight="1" x14ac:dyDescent="0.35">
      <c r="B234" s="25" t="s">
        <v>1284</v>
      </c>
      <c r="C234" s="22" t="s">
        <v>1285</v>
      </c>
      <c r="D234" s="22" t="s">
        <v>1286</v>
      </c>
      <c r="E234" s="23" t="s">
        <v>1287</v>
      </c>
      <c r="F234" s="24" t="s">
        <v>1288</v>
      </c>
      <c r="G234" s="21" t="s">
        <v>1289</v>
      </c>
      <c r="H234" s="23" t="s">
        <v>1290</v>
      </c>
      <c r="I234" s="23" t="s">
        <v>1290</v>
      </c>
      <c r="L234" s="30" t="str">
        <f t="shared" si="8"/>
        <v>PASSED</v>
      </c>
    </row>
    <row r="235" spans="2:12" ht="106" customHeight="1" x14ac:dyDescent="0.35">
      <c r="B235" s="25" t="s">
        <v>1291</v>
      </c>
      <c r="C235" s="21" t="s">
        <v>1285</v>
      </c>
      <c r="D235" s="22" t="s">
        <v>1292</v>
      </c>
      <c r="E235" s="22" t="s">
        <v>1293</v>
      </c>
      <c r="F235" s="24" t="s">
        <v>1294</v>
      </c>
      <c r="G235" s="22" t="s">
        <v>1295</v>
      </c>
      <c r="H235" s="23" t="s">
        <v>1296</v>
      </c>
      <c r="I235" s="23" t="s">
        <v>1296</v>
      </c>
      <c r="L235" s="30" t="str">
        <f t="shared" si="8"/>
        <v>PASSED</v>
      </c>
    </row>
    <row r="236" spans="2:12" ht="127" customHeight="1" x14ac:dyDescent="0.35">
      <c r="B236" s="25" t="s">
        <v>1297</v>
      </c>
      <c r="C236" s="22" t="s">
        <v>1285</v>
      </c>
      <c r="D236" s="22" t="s">
        <v>1292</v>
      </c>
      <c r="E236" s="22" t="s">
        <v>1298</v>
      </c>
      <c r="F236" s="24" t="s">
        <v>1299</v>
      </c>
      <c r="G236" s="21" t="s">
        <v>1300</v>
      </c>
      <c r="H236" s="27" t="s">
        <v>1301</v>
      </c>
      <c r="I236" s="27" t="s">
        <v>1301</v>
      </c>
      <c r="L236" s="30" t="str">
        <f t="shared" si="8"/>
        <v>PASSED</v>
      </c>
    </row>
    <row r="237" spans="2:12" ht="131.5" customHeight="1" x14ac:dyDescent="0.35">
      <c r="B237" s="25" t="s">
        <v>1302</v>
      </c>
      <c r="C237" s="22" t="s">
        <v>1285</v>
      </c>
      <c r="D237" s="22" t="s">
        <v>1292</v>
      </c>
      <c r="E237" s="23" t="s">
        <v>1303</v>
      </c>
      <c r="F237" s="24" t="s">
        <v>1304</v>
      </c>
      <c r="G237" s="21" t="s">
        <v>1305</v>
      </c>
      <c r="H237" s="23" t="s">
        <v>1306</v>
      </c>
      <c r="I237" s="27" t="s">
        <v>1306</v>
      </c>
      <c r="L237" s="30" t="str">
        <f t="shared" si="8"/>
        <v>PASSED</v>
      </c>
    </row>
    <row r="238" spans="2:12" ht="100.5" customHeight="1" x14ac:dyDescent="0.35">
      <c r="B238" s="25" t="s">
        <v>1307</v>
      </c>
      <c r="C238" s="22" t="s">
        <v>1285</v>
      </c>
      <c r="D238" s="22" t="s">
        <v>1292</v>
      </c>
      <c r="E238" s="23" t="s">
        <v>1308</v>
      </c>
      <c r="F238" s="24" t="s">
        <v>1309</v>
      </c>
      <c r="G238" s="21" t="s">
        <v>1310</v>
      </c>
      <c r="H238" s="27" t="s">
        <v>1311</v>
      </c>
      <c r="I238" s="27" t="s">
        <v>1311</v>
      </c>
      <c r="L238" s="30" t="str">
        <f t="shared" si="8"/>
        <v>PASSED</v>
      </c>
    </row>
    <row r="239" spans="2:12" ht="15.5" customHeight="1" x14ac:dyDescent="0.35">
      <c r="B239" s="25"/>
      <c r="F239" s="29"/>
    </row>
    <row r="240" spans="2:12" ht="15.5" customHeight="1" x14ac:dyDescent="0.35">
      <c r="B240" s="25"/>
    </row>
    <row r="241" spans="2:2" ht="15.5" customHeight="1" x14ac:dyDescent="0.35">
      <c r="B241" s="25"/>
    </row>
    <row r="242" spans="2:2" ht="15.5" customHeight="1" x14ac:dyDescent="0.35">
      <c r="B242" s="25"/>
    </row>
    <row r="243" spans="2:2" ht="15.5" customHeight="1" x14ac:dyDescent="0.35">
      <c r="B243" s="25"/>
    </row>
    <row r="244" spans="2:2" ht="15.5" customHeight="1" x14ac:dyDescent="0.35">
      <c r="B244" s="25"/>
    </row>
    <row r="245" spans="2:2" ht="15.5" customHeight="1" x14ac:dyDescent="0.35">
      <c r="B245" s="25"/>
    </row>
  </sheetData>
  <mergeCells count="6">
    <mergeCell ref="B5:L5"/>
    <mergeCell ref="B24:L24"/>
    <mergeCell ref="B48:L48"/>
    <mergeCell ref="B7:L7"/>
    <mergeCell ref="B232:L232"/>
    <mergeCell ref="B82:L82"/>
  </mergeCells>
  <conditionalFormatting sqref="L8:L23 L25:L47 L49:L81 L83:L231 L233:L238">
    <cfRule type="cellIs" dxfId="1" priority="1" operator="equal">
      <formula>"PASSED"</formula>
    </cfRule>
    <cfRule type="cellIs" dxfId="0" priority="2" operator="equal">
      <formula>"FAILED"</formula>
    </cfRule>
  </conditionalFormatting>
  <hyperlinks>
    <hyperlink ref="J80" r:id="rId1" xr:uid="{00000000-0004-0000-0500-000000000000}"/>
  </hyperlinks>
  <pageMargins left="0.75" right="0.75" top="1" bottom="1" header="0.5" footer="0.5"/>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DCF34-2B27-4572-A0C4-C6049605B379}">
  <dimension ref="B3:C101"/>
  <sheetViews>
    <sheetView topLeftCell="A13" workbookViewId="0">
      <selection activeCell="B18" sqref="B18:C18"/>
    </sheetView>
  </sheetViews>
  <sheetFormatPr defaultRowHeight="14.5" x14ac:dyDescent="0.35"/>
  <cols>
    <col min="1" max="1" width="6.6328125" customWidth="1"/>
    <col min="2" max="2" width="65.6328125" customWidth="1"/>
    <col min="3" max="3" width="20.6328125" customWidth="1"/>
    <col min="4" max="4" width="6.6328125" customWidth="1"/>
  </cols>
  <sheetData>
    <row r="3" spans="2:3" ht="13.5" customHeight="1" x14ac:dyDescent="0.35">
      <c r="B3" s="56" t="s">
        <v>1318</v>
      </c>
      <c r="C3" s="57"/>
    </row>
    <row r="4" spans="2:3" ht="13.5" customHeight="1" x14ac:dyDescent="0.35">
      <c r="B4" s="57"/>
      <c r="C4" s="57"/>
    </row>
    <row r="5" spans="2:3" ht="13.5" customHeight="1" x14ac:dyDescent="0.35">
      <c r="B5" s="57"/>
      <c r="C5" s="57"/>
    </row>
    <row r="6" spans="2:3" ht="13.5" customHeight="1" x14ac:dyDescent="0.35">
      <c r="B6" s="58"/>
      <c r="C6" s="58"/>
    </row>
    <row r="7" spans="2:3" ht="15" customHeight="1" x14ac:dyDescent="0.35">
      <c r="B7" s="59" t="s">
        <v>1320</v>
      </c>
      <c r="C7" s="59"/>
    </row>
    <row r="8" spans="2:3" ht="15" customHeight="1" x14ac:dyDescent="0.35">
      <c r="B8" s="60"/>
      <c r="C8" s="60"/>
    </row>
    <row r="9" spans="2:3" ht="16" customHeight="1" x14ac:dyDescent="0.35">
      <c r="B9" s="55" t="s">
        <v>1321</v>
      </c>
      <c r="C9" s="55"/>
    </row>
    <row r="10" spans="2:3" ht="16" customHeight="1" x14ac:dyDescent="0.35">
      <c r="B10" s="55"/>
      <c r="C10" s="55"/>
    </row>
    <row r="11" spans="2:3" ht="19" customHeight="1" x14ac:dyDescent="0.35">
      <c r="B11" s="61" t="s">
        <v>1319</v>
      </c>
      <c r="C11" s="61"/>
    </row>
    <row r="12" spans="2:3" ht="76" customHeight="1" x14ac:dyDescent="0.35">
      <c r="B12" s="62" t="s">
        <v>1322</v>
      </c>
      <c r="C12" s="62"/>
    </row>
    <row r="13" spans="2:3" ht="20" customHeight="1" x14ac:dyDescent="0.35">
      <c r="B13" s="63" t="s">
        <v>1323</v>
      </c>
      <c r="C13" s="63"/>
    </row>
    <row r="14" spans="2:3" ht="20" customHeight="1" x14ac:dyDescent="0.35">
      <c r="B14" s="61" t="s">
        <v>1324</v>
      </c>
      <c r="C14" s="61"/>
    </row>
    <row r="15" spans="2:3" ht="20" customHeight="1" x14ac:dyDescent="0.35">
      <c r="B15" s="63" t="s">
        <v>1325</v>
      </c>
      <c r="C15" s="63"/>
    </row>
    <row r="16" spans="2:3" ht="20" customHeight="1" x14ac:dyDescent="0.35">
      <c r="B16" s="63" t="s">
        <v>1326</v>
      </c>
      <c r="C16" s="63"/>
    </row>
    <row r="17" spans="2:3" ht="20" customHeight="1" x14ac:dyDescent="0.35">
      <c r="B17" s="61" t="s">
        <v>1327</v>
      </c>
      <c r="C17" s="61"/>
    </row>
    <row r="18" spans="2:3" ht="32" customHeight="1" x14ac:dyDescent="0.35">
      <c r="B18" s="64" t="s">
        <v>1328</v>
      </c>
      <c r="C18" s="64"/>
    </row>
    <row r="19" spans="2:3" ht="30" customHeight="1" x14ac:dyDescent="0.35">
      <c r="B19" s="55" t="s">
        <v>1329</v>
      </c>
      <c r="C19" s="55"/>
    </row>
    <row r="20" spans="2:3" ht="20" customHeight="1" x14ac:dyDescent="0.35">
      <c r="B20" s="63" t="s">
        <v>1330</v>
      </c>
      <c r="C20" s="63"/>
    </row>
    <row r="21" spans="2:3" ht="22" customHeight="1" x14ac:dyDescent="0.35">
      <c r="B21" s="65" t="s">
        <v>1331</v>
      </c>
      <c r="C21" s="66"/>
    </row>
    <row r="22" spans="2:3" ht="14" customHeight="1" x14ac:dyDescent="0.35"/>
    <row r="23" spans="2:3" ht="14" customHeight="1" x14ac:dyDescent="0.35"/>
    <row r="24" spans="2:3" ht="13.5" customHeight="1" x14ac:dyDescent="0.35"/>
    <row r="25" spans="2:3" ht="13.5" customHeight="1" x14ac:dyDescent="0.35"/>
    <row r="26" spans="2:3" ht="13.5" customHeight="1" x14ac:dyDescent="0.35"/>
    <row r="27" spans="2:3" ht="13.5" customHeight="1" x14ac:dyDescent="0.35"/>
    <row r="28" spans="2:3" ht="15" customHeight="1" x14ac:dyDescent="0.35"/>
    <row r="29" spans="2:3" ht="15" customHeight="1" x14ac:dyDescent="0.35"/>
    <row r="30" spans="2:3" ht="16" customHeight="1" x14ac:dyDescent="0.35"/>
    <row r="31" spans="2:3" ht="16" customHeight="1" x14ac:dyDescent="0.35"/>
    <row r="32" spans="2:3" ht="19" customHeight="1" x14ac:dyDescent="0.35"/>
    <row r="33" ht="65" customHeight="1" x14ac:dyDescent="0.35"/>
    <row r="34" ht="20" customHeight="1" x14ac:dyDescent="0.35"/>
    <row r="35" ht="20" customHeight="1" x14ac:dyDescent="0.35"/>
    <row r="36" ht="20" customHeight="1" x14ac:dyDescent="0.35"/>
    <row r="37" ht="20" customHeight="1" x14ac:dyDescent="0.35"/>
    <row r="38" ht="20" customHeight="1" x14ac:dyDescent="0.35"/>
    <row r="39" ht="32" customHeight="1" x14ac:dyDescent="0.35"/>
    <row r="40" ht="30" customHeight="1" x14ac:dyDescent="0.35"/>
    <row r="41" ht="20" customHeight="1" x14ac:dyDescent="0.35"/>
    <row r="42" ht="22" customHeight="1" x14ac:dyDescent="0.35"/>
    <row r="43" ht="14" customHeight="1" x14ac:dyDescent="0.35"/>
    <row r="44" ht="14" customHeight="1" x14ac:dyDescent="0.35"/>
    <row r="45" ht="13.5" customHeight="1" x14ac:dyDescent="0.35"/>
    <row r="46" ht="13.5" customHeight="1" x14ac:dyDescent="0.35"/>
    <row r="47" ht="13.5" customHeight="1" x14ac:dyDescent="0.35"/>
    <row r="48" ht="13.5" customHeight="1" x14ac:dyDescent="0.35"/>
    <row r="49" ht="15" customHeight="1" x14ac:dyDescent="0.35"/>
    <row r="50" ht="15" customHeight="1" x14ac:dyDescent="0.35"/>
    <row r="51" ht="16" customHeight="1" x14ac:dyDescent="0.35"/>
    <row r="52" ht="16" customHeight="1" x14ac:dyDescent="0.35"/>
    <row r="53" ht="19" customHeight="1" x14ac:dyDescent="0.35"/>
    <row r="54" ht="95" customHeight="1" x14ac:dyDescent="0.35"/>
    <row r="55" ht="20" customHeight="1" x14ac:dyDescent="0.35"/>
    <row r="56" ht="20" customHeight="1" x14ac:dyDescent="0.35"/>
    <row r="57" ht="20" customHeight="1" x14ac:dyDescent="0.35"/>
    <row r="58" ht="20" customHeight="1" x14ac:dyDescent="0.35"/>
    <row r="59" ht="20" customHeight="1" x14ac:dyDescent="0.35"/>
    <row r="60" ht="32" customHeight="1" x14ac:dyDescent="0.35"/>
    <row r="61" ht="30" customHeight="1" x14ac:dyDescent="0.35"/>
    <row r="62" ht="20" customHeight="1" x14ac:dyDescent="0.35"/>
    <row r="63" ht="22" customHeight="1" x14ac:dyDescent="0.35"/>
    <row r="64" ht="14" customHeight="1" x14ac:dyDescent="0.35"/>
    <row r="65" ht="14" customHeight="1" x14ac:dyDescent="0.35"/>
    <row r="66" ht="13.5" customHeight="1" x14ac:dyDescent="0.35"/>
    <row r="67" ht="13.5" customHeight="1" x14ac:dyDescent="0.35"/>
    <row r="68" ht="13.5" customHeight="1" x14ac:dyDescent="0.35"/>
    <row r="69" ht="13.5" customHeight="1" x14ac:dyDescent="0.35"/>
    <row r="70" ht="15" customHeight="1" x14ac:dyDescent="0.35"/>
    <row r="71" ht="15" customHeight="1" x14ac:dyDescent="0.35"/>
    <row r="72" ht="16" customHeight="1" x14ac:dyDescent="0.35"/>
    <row r="73" ht="16" customHeight="1" x14ac:dyDescent="0.35"/>
    <row r="74" ht="19" customHeight="1" x14ac:dyDescent="0.35"/>
    <row r="75" ht="65" customHeight="1" x14ac:dyDescent="0.35"/>
    <row r="76" ht="20" customHeight="1" x14ac:dyDescent="0.35"/>
    <row r="77" ht="20" customHeight="1" x14ac:dyDescent="0.35"/>
    <row r="78" ht="20" customHeight="1" x14ac:dyDescent="0.35"/>
    <row r="79" ht="20" customHeight="1" x14ac:dyDescent="0.35"/>
    <row r="80" ht="20" customHeight="1" x14ac:dyDescent="0.35"/>
    <row r="81" ht="14" customHeight="1" x14ac:dyDescent="0.35"/>
    <row r="82" ht="14" customHeight="1" x14ac:dyDescent="0.35"/>
    <row r="83" ht="13.5" customHeight="1" x14ac:dyDescent="0.35"/>
    <row r="84" ht="13.5" customHeight="1" x14ac:dyDescent="0.35"/>
    <row r="85" ht="13.5" customHeight="1" x14ac:dyDescent="0.35"/>
    <row r="86" ht="15" customHeight="1" x14ac:dyDescent="0.35"/>
    <row r="87" ht="15" customHeight="1" x14ac:dyDescent="0.35"/>
    <row r="88" ht="16" customHeight="1" x14ac:dyDescent="0.35"/>
    <row r="89" ht="16" customHeight="1" x14ac:dyDescent="0.35"/>
    <row r="90" ht="19" customHeight="1" x14ac:dyDescent="0.35"/>
    <row r="91" ht="65" customHeight="1" x14ac:dyDescent="0.35"/>
    <row r="92" ht="20" customHeight="1" x14ac:dyDescent="0.35"/>
    <row r="93" ht="20" customHeight="1" x14ac:dyDescent="0.35"/>
    <row r="94" ht="20" customHeight="1" x14ac:dyDescent="0.35"/>
    <row r="95" ht="20" customHeight="1" x14ac:dyDescent="0.35"/>
    <row r="96" ht="20" customHeight="1" x14ac:dyDescent="0.35"/>
    <row r="97" ht="32" customHeight="1" x14ac:dyDescent="0.35"/>
    <row r="98" ht="30" customHeight="1" x14ac:dyDescent="0.35"/>
    <row r="99" ht="20" customHeight="1" x14ac:dyDescent="0.35"/>
    <row r="100" ht="14" customHeight="1" x14ac:dyDescent="0.35"/>
    <row r="101" ht="14" customHeight="1" x14ac:dyDescent="0.35"/>
  </sheetData>
  <mergeCells count="14">
    <mergeCell ref="B20:C20"/>
    <mergeCell ref="B21:C21"/>
    <mergeCell ref="B19:C19"/>
    <mergeCell ref="B3:C6"/>
    <mergeCell ref="B7:C8"/>
    <mergeCell ref="B9:C10"/>
    <mergeCell ref="B11:C11"/>
    <mergeCell ref="B12:C12"/>
    <mergeCell ref="B13:C13"/>
    <mergeCell ref="B14:C14"/>
    <mergeCell ref="B15:C15"/>
    <mergeCell ref="B16:C16"/>
    <mergeCell ref="B17:C17"/>
    <mergeCell ref="B18:C18"/>
  </mergeCells>
  <hyperlinks>
    <hyperlink ref="B18:C18" r:id="rId1" display="Screenshot / Actual Result: Form accepts blank input data, bypasses captcha validation, and redirects to the next page." xr:uid="{BE96429C-E816-445F-A2CB-6CD15173CD4E}"/>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topLeftCell="A19" workbookViewId="0">
      <selection activeCell="D16" sqref="D16"/>
    </sheetView>
  </sheetViews>
  <sheetFormatPr defaultRowHeight="14.5" x14ac:dyDescent="0.35"/>
  <cols>
    <col min="1" max="1" width="16" customWidth="1"/>
    <col min="2" max="2" width="38" customWidth="1"/>
    <col min="3" max="3" width="72" customWidth="1"/>
    <col min="4" max="4" width="28" customWidth="1"/>
  </cols>
  <sheetData>
    <row r="1" spans="1:4" x14ac:dyDescent="0.35">
      <c r="A1" s="67" t="s">
        <v>49</v>
      </c>
      <c r="B1" s="50"/>
      <c r="C1" s="50"/>
      <c r="D1" s="50"/>
    </row>
    <row r="2" spans="1:4" x14ac:dyDescent="0.35">
      <c r="A2" s="50"/>
      <c r="B2" s="50"/>
      <c r="C2" s="50"/>
      <c r="D2" s="50"/>
    </row>
    <row r="3" spans="1:4" x14ac:dyDescent="0.35">
      <c r="A3" s="50"/>
      <c r="B3" s="50"/>
      <c r="C3" s="50"/>
      <c r="D3" s="50"/>
    </row>
    <row r="4" spans="1:4" x14ac:dyDescent="0.35">
      <c r="A4" s="50"/>
      <c r="B4" s="50"/>
      <c r="C4" s="50"/>
      <c r="D4" s="50"/>
    </row>
    <row r="5" spans="1:4" x14ac:dyDescent="0.35">
      <c r="A5" s="50"/>
      <c r="B5" s="50"/>
      <c r="C5" s="50"/>
      <c r="D5" s="50"/>
    </row>
    <row r="6" spans="1:4" x14ac:dyDescent="0.35">
      <c r="A6" s="50"/>
      <c r="B6" s="50"/>
      <c r="C6" s="50"/>
      <c r="D6" s="50"/>
    </row>
    <row r="7" spans="1:4" x14ac:dyDescent="0.35">
      <c r="A7" s="50"/>
      <c r="B7" s="50"/>
      <c r="C7" s="50"/>
      <c r="D7" s="50"/>
    </row>
    <row r="8" spans="1:4" x14ac:dyDescent="0.35">
      <c r="A8" s="50"/>
      <c r="B8" s="50"/>
      <c r="C8" s="50"/>
      <c r="D8" s="50"/>
    </row>
    <row r="9" spans="1:4" x14ac:dyDescent="0.35">
      <c r="A9" s="50"/>
      <c r="B9" s="50"/>
      <c r="C9" s="50"/>
      <c r="D9" s="50"/>
    </row>
    <row r="10" spans="1:4" ht="16" customHeight="1" x14ac:dyDescent="0.35">
      <c r="A10" s="50"/>
      <c r="B10" s="50"/>
      <c r="C10" s="50"/>
      <c r="D10" s="50"/>
    </row>
    <row r="11" spans="1:4" ht="17" customHeight="1" x14ac:dyDescent="0.35">
      <c r="A11" s="50"/>
      <c r="B11" s="50"/>
      <c r="C11" s="50"/>
      <c r="D11" s="50"/>
    </row>
    <row r="12" spans="1:4" ht="25" customHeight="1" x14ac:dyDescent="0.35">
      <c r="A12" s="45" t="s">
        <v>50</v>
      </c>
      <c r="B12" s="45" t="s">
        <v>51</v>
      </c>
      <c r="C12" s="45" t="s">
        <v>3</v>
      </c>
      <c r="D12" s="45" t="s">
        <v>52</v>
      </c>
    </row>
    <row r="13" spans="1:4" ht="22" customHeight="1" x14ac:dyDescent="0.35">
      <c r="A13" s="32" t="s">
        <v>53</v>
      </c>
      <c r="B13" s="33" t="s">
        <v>54</v>
      </c>
      <c r="C13" s="38" t="s">
        <v>55</v>
      </c>
      <c r="D13" s="48" t="s">
        <v>1334</v>
      </c>
    </row>
    <row r="14" spans="1:4" ht="22" customHeight="1" x14ac:dyDescent="0.35">
      <c r="A14" s="32" t="s">
        <v>56</v>
      </c>
      <c r="B14" s="33" t="s">
        <v>57</v>
      </c>
      <c r="C14" s="38" t="s">
        <v>58</v>
      </c>
      <c r="D14" s="48" t="s">
        <v>69</v>
      </c>
    </row>
    <row r="15" spans="1:4" ht="22" customHeight="1" x14ac:dyDescent="0.35">
      <c r="A15" s="32" t="s">
        <v>59</v>
      </c>
      <c r="B15" s="33" t="s">
        <v>60</v>
      </c>
      <c r="C15" s="38" t="s">
        <v>61</v>
      </c>
      <c r="D15" s="48" t="s">
        <v>62</v>
      </c>
    </row>
    <row r="16" spans="1:4" ht="22" customHeight="1" x14ac:dyDescent="0.35">
      <c r="A16" s="32" t="s">
        <v>63</v>
      </c>
      <c r="B16" s="33" t="s">
        <v>64</v>
      </c>
      <c r="C16" s="38" t="s">
        <v>65</v>
      </c>
      <c r="D16" s="48" t="s">
        <v>1335</v>
      </c>
    </row>
    <row r="17" spans="1:4" ht="22" customHeight="1" x14ac:dyDescent="0.35">
      <c r="A17" s="32" t="s">
        <v>66</v>
      </c>
      <c r="B17" s="33" t="s">
        <v>67</v>
      </c>
      <c r="C17" s="38" t="s">
        <v>68</v>
      </c>
      <c r="D17" s="32" t="s">
        <v>69</v>
      </c>
    </row>
    <row r="18" spans="1:4" ht="22" customHeight="1" x14ac:dyDescent="0.35">
      <c r="A18" s="32" t="s">
        <v>70</v>
      </c>
      <c r="B18" s="33" t="s">
        <v>71</v>
      </c>
      <c r="C18" s="38" t="s">
        <v>72</v>
      </c>
      <c r="D18" s="32" t="s">
        <v>73</v>
      </c>
    </row>
    <row r="19" spans="1:4" ht="22" customHeight="1" x14ac:dyDescent="0.35">
      <c r="A19" s="32" t="s">
        <v>74</v>
      </c>
      <c r="B19" s="33" t="s">
        <v>75</v>
      </c>
      <c r="C19" s="38" t="s">
        <v>76</v>
      </c>
      <c r="D19" s="32" t="s">
        <v>73</v>
      </c>
    </row>
    <row r="20" spans="1:4" ht="22" customHeight="1" x14ac:dyDescent="0.35">
      <c r="A20" s="32" t="s">
        <v>77</v>
      </c>
      <c r="B20" s="33" t="s">
        <v>78</v>
      </c>
      <c r="C20" s="38" t="s">
        <v>79</v>
      </c>
      <c r="D20" s="32" t="s">
        <v>73</v>
      </c>
    </row>
    <row r="21" spans="1:4" ht="22" customHeight="1" x14ac:dyDescent="0.35">
      <c r="A21" s="32" t="s">
        <v>80</v>
      </c>
      <c r="B21" s="33" t="s">
        <v>81</v>
      </c>
      <c r="C21" s="38" t="s">
        <v>82</v>
      </c>
      <c r="D21" s="32" t="s">
        <v>73</v>
      </c>
    </row>
    <row r="22" spans="1:4" ht="22" customHeight="1" x14ac:dyDescent="0.35">
      <c r="A22" s="32" t="s">
        <v>83</v>
      </c>
      <c r="B22" s="33" t="s">
        <v>84</v>
      </c>
      <c r="C22" s="38" t="s">
        <v>85</v>
      </c>
      <c r="D22" s="32" t="s">
        <v>73</v>
      </c>
    </row>
    <row r="23" spans="1:4" ht="22" customHeight="1" x14ac:dyDescent="0.35">
      <c r="A23" s="32" t="s">
        <v>86</v>
      </c>
      <c r="B23" s="33" t="s">
        <v>87</v>
      </c>
      <c r="C23" s="38" t="s">
        <v>88</v>
      </c>
      <c r="D23" s="32" t="s">
        <v>73</v>
      </c>
    </row>
  </sheetData>
  <mergeCells count="1">
    <mergeCell ref="A1:D1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
  <sheetViews>
    <sheetView topLeftCell="A13" workbookViewId="0">
      <selection activeCell="F24" sqref="F24"/>
    </sheetView>
  </sheetViews>
  <sheetFormatPr defaultRowHeight="14.5" x14ac:dyDescent="0.35"/>
  <cols>
    <col min="1" max="6" width="18" customWidth="1"/>
  </cols>
  <sheetData>
    <row r="1" spans="1:6" x14ac:dyDescent="0.35">
      <c r="A1" s="73" t="s">
        <v>89</v>
      </c>
      <c r="B1" s="50"/>
      <c r="C1" s="50"/>
      <c r="D1" s="50"/>
      <c r="E1" s="50"/>
      <c r="F1" s="50"/>
    </row>
    <row r="2" spans="1:6" x14ac:dyDescent="0.35">
      <c r="A2" s="50"/>
      <c r="B2" s="50"/>
      <c r="C2" s="50"/>
      <c r="D2" s="50"/>
      <c r="E2" s="50"/>
      <c r="F2" s="50"/>
    </row>
    <row r="3" spans="1:6" x14ac:dyDescent="0.35">
      <c r="A3" s="50"/>
      <c r="B3" s="50"/>
      <c r="C3" s="50"/>
      <c r="D3" s="50"/>
      <c r="E3" s="50"/>
      <c r="F3" s="50"/>
    </row>
    <row r="4" spans="1:6" x14ac:dyDescent="0.35">
      <c r="A4" s="50"/>
      <c r="B4" s="50"/>
      <c r="C4" s="50"/>
      <c r="D4" s="50"/>
      <c r="E4" s="50"/>
      <c r="F4" s="50"/>
    </row>
    <row r="5" spans="1:6" x14ac:dyDescent="0.35">
      <c r="A5" s="50"/>
      <c r="B5" s="50"/>
      <c r="C5" s="50"/>
      <c r="D5" s="50"/>
      <c r="E5" s="50"/>
      <c r="F5" s="50"/>
    </row>
    <row r="6" spans="1:6" x14ac:dyDescent="0.35">
      <c r="A6" s="50"/>
      <c r="B6" s="50"/>
      <c r="C6" s="50"/>
      <c r="D6" s="50"/>
      <c r="E6" s="50"/>
      <c r="F6" s="50"/>
    </row>
    <row r="7" spans="1:6" x14ac:dyDescent="0.35">
      <c r="A7" s="50"/>
      <c r="B7" s="50"/>
      <c r="C7" s="50"/>
      <c r="D7" s="50"/>
      <c r="E7" s="50"/>
      <c r="F7" s="50"/>
    </row>
    <row r="8" spans="1:6" x14ac:dyDescent="0.35">
      <c r="A8" s="50"/>
      <c r="B8" s="50"/>
      <c r="C8" s="50"/>
      <c r="D8" s="50"/>
      <c r="E8" s="50"/>
      <c r="F8" s="50"/>
    </row>
    <row r="9" spans="1:6" x14ac:dyDescent="0.35">
      <c r="A9" s="50"/>
      <c r="B9" s="50"/>
      <c r="C9" s="50"/>
      <c r="D9" s="50"/>
      <c r="E9" s="50"/>
      <c r="F9" s="50"/>
    </row>
    <row r="10" spans="1:6" x14ac:dyDescent="0.35">
      <c r="A10" s="50"/>
      <c r="B10" s="50"/>
      <c r="C10" s="50"/>
      <c r="D10" s="50"/>
      <c r="E10" s="50"/>
      <c r="F10" s="50"/>
    </row>
    <row r="11" spans="1:6" x14ac:dyDescent="0.35">
      <c r="A11" s="50"/>
      <c r="B11" s="50"/>
      <c r="C11" s="50"/>
      <c r="D11" s="50"/>
      <c r="E11" s="50"/>
      <c r="F11" s="50"/>
    </row>
    <row r="12" spans="1:6" ht="24" customHeight="1" x14ac:dyDescent="0.35">
      <c r="A12" s="74" t="s">
        <v>90</v>
      </c>
      <c r="B12" s="69"/>
      <c r="C12" s="69"/>
      <c r="D12" s="69"/>
      <c r="E12" s="69"/>
      <c r="F12" s="70"/>
    </row>
    <row r="13" spans="1:6" ht="20" customHeight="1" x14ac:dyDescent="0.35">
      <c r="A13" s="33" t="s">
        <v>91</v>
      </c>
      <c r="B13" s="71" t="s">
        <v>92</v>
      </c>
      <c r="C13" s="69"/>
      <c r="D13" s="69"/>
      <c r="E13" s="69"/>
      <c r="F13" s="70"/>
    </row>
    <row r="14" spans="1:6" ht="20" customHeight="1" x14ac:dyDescent="0.35">
      <c r="A14" s="33" t="s">
        <v>93</v>
      </c>
      <c r="B14" s="75" t="s">
        <v>94</v>
      </c>
      <c r="C14" s="69"/>
      <c r="D14" s="69"/>
      <c r="E14" s="69"/>
      <c r="F14" s="70"/>
    </row>
    <row r="15" spans="1:6" ht="20" customHeight="1" x14ac:dyDescent="0.35">
      <c r="A15" s="33" t="s">
        <v>95</v>
      </c>
      <c r="B15" s="71" t="s">
        <v>96</v>
      </c>
      <c r="C15" s="69"/>
      <c r="D15" s="69"/>
      <c r="E15" s="69"/>
      <c r="F15" s="70"/>
    </row>
    <row r="16" spans="1:6" ht="20" customHeight="1" x14ac:dyDescent="0.35">
      <c r="A16" s="33" t="s">
        <v>97</v>
      </c>
      <c r="B16" s="72" t="s">
        <v>99</v>
      </c>
      <c r="C16" s="69"/>
      <c r="D16" s="69"/>
      <c r="E16" s="69"/>
      <c r="F16" s="70"/>
    </row>
    <row r="17" spans="1:6" ht="20" customHeight="1" x14ac:dyDescent="0.35">
      <c r="A17" s="33" t="s">
        <v>98</v>
      </c>
      <c r="B17" s="71" t="s">
        <v>99</v>
      </c>
      <c r="C17" s="69"/>
      <c r="D17" s="69"/>
      <c r="E17" s="69"/>
      <c r="F17" s="70"/>
    </row>
    <row r="18" spans="1:6" ht="20" customHeight="1" x14ac:dyDescent="0.35">
      <c r="A18" s="33" t="s">
        <v>100</v>
      </c>
      <c r="B18" s="72" t="s">
        <v>1313</v>
      </c>
      <c r="C18" s="69"/>
      <c r="D18" s="69"/>
      <c r="E18" s="69"/>
      <c r="F18" s="70"/>
    </row>
    <row r="19" spans="1:6" ht="20" customHeight="1" x14ac:dyDescent="0.35">
      <c r="A19" s="33" t="s">
        <v>101</v>
      </c>
      <c r="B19" s="71" t="s">
        <v>102</v>
      </c>
      <c r="C19" s="69"/>
      <c r="D19" s="69"/>
      <c r="E19" s="69"/>
      <c r="F19" s="70"/>
    </row>
    <row r="20" spans="1:6" ht="20" customHeight="1" x14ac:dyDescent="0.35">
      <c r="A20" s="33" t="s">
        <v>103</v>
      </c>
      <c r="B20" s="72" t="s">
        <v>1312</v>
      </c>
      <c r="C20" s="69"/>
      <c r="D20" s="69"/>
      <c r="E20" s="69"/>
      <c r="F20" s="70"/>
    </row>
    <row r="21" spans="1:6" ht="22" customHeight="1" x14ac:dyDescent="0.35">
      <c r="A21" s="68" t="s">
        <v>104</v>
      </c>
      <c r="B21" s="69"/>
      <c r="C21" s="69"/>
      <c r="D21" s="69"/>
      <c r="E21" s="69"/>
      <c r="F21" s="70"/>
    </row>
    <row r="22" spans="1:6" ht="22" customHeight="1" x14ac:dyDescent="0.35">
      <c r="A22" s="39" t="s">
        <v>105</v>
      </c>
      <c r="B22" s="39" t="s">
        <v>106</v>
      </c>
      <c r="C22" s="40" t="s">
        <v>107</v>
      </c>
      <c r="D22" s="41" t="s">
        <v>108</v>
      </c>
      <c r="E22" s="42" t="s">
        <v>109</v>
      </c>
      <c r="F22" s="43" t="s">
        <v>110</v>
      </c>
    </row>
    <row r="23" spans="1:6" ht="22" customHeight="1" x14ac:dyDescent="0.35">
      <c r="A23" s="31" t="s">
        <v>111</v>
      </c>
      <c r="B23" s="31">
        <v>224</v>
      </c>
      <c r="C23" s="46">
        <v>1</v>
      </c>
      <c r="D23" s="31">
        <v>0</v>
      </c>
      <c r="E23" s="31">
        <v>0</v>
      </c>
      <c r="F23" s="31">
        <v>225</v>
      </c>
    </row>
  </sheetData>
  <mergeCells count="11">
    <mergeCell ref="A1:F11"/>
    <mergeCell ref="B15:F15"/>
    <mergeCell ref="B20:F20"/>
    <mergeCell ref="B19:F19"/>
    <mergeCell ref="A12:F12"/>
    <mergeCell ref="B14:F14"/>
    <mergeCell ref="A21:F21"/>
    <mergeCell ref="B17:F17"/>
    <mergeCell ref="B18:F18"/>
    <mergeCell ref="B13:F13"/>
    <mergeCell ref="B16:F1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tabSelected="1" workbookViewId="0">
      <selection activeCell="B8" sqref="B8"/>
    </sheetView>
  </sheetViews>
  <sheetFormatPr defaultRowHeight="14.5" x14ac:dyDescent="0.35"/>
  <cols>
    <col min="1" max="1" width="33.81640625" customWidth="1"/>
    <col min="2" max="2" width="18" customWidth="1"/>
  </cols>
  <sheetData>
    <row r="1" spans="1:2" ht="18.5" x14ac:dyDescent="0.45">
      <c r="A1" s="35" t="s">
        <v>112</v>
      </c>
    </row>
    <row r="3" spans="1:2" x14ac:dyDescent="0.35">
      <c r="A3" s="36" t="s">
        <v>113</v>
      </c>
      <c r="B3" s="36" t="s">
        <v>114</v>
      </c>
    </row>
    <row r="4" spans="1:2" x14ac:dyDescent="0.35">
      <c r="A4" s="37" t="s">
        <v>115</v>
      </c>
      <c r="B4" s="32">
        <v>225</v>
      </c>
    </row>
    <row r="5" spans="1:2" x14ac:dyDescent="0.35">
      <c r="A5" s="37" t="s">
        <v>116</v>
      </c>
      <c r="B5" s="32">
        <v>224</v>
      </c>
    </row>
    <row r="6" spans="1:2" x14ac:dyDescent="0.35">
      <c r="A6" s="37" t="s">
        <v>117</v>
      </c>
      <c r="B6" s="32">
        <v>1</v>
      </c>
    </row>
    <row r="7" spans="1:2" x14ac:dyDescent="0.35">
      <c r="A7" s="37" t="s">
        <v>118</v>
      </c>
      <c r="B7" s="32">
        <f>COUNTIF('Test Cases'!L8:L238, "NO RUN")</f>
        <v>0</v>
      </c>
    </row>
    <row r="8" spans="1:2" x14ac:dyDescent="0.35">
      <c r="A8" s="37" t="s">
        <v>119</v>
      </c>
      <c r="B8" s="32">
        <f>ROUND((B5/B4)*100, 2)</f>
        <v>99.56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Plan</vt:lpstr>
      <vt:lpstr>Mind Map</vt:lpstr>
      <vt:lpstr>Test Cases</vt:lpstr>
      <vt:lpstr>Bug Report</vt:lpstr>
      <vt:lpstr>Test Matrix</vt:lpstr>
      <vt:lpstr>Test Case Report</vt:lpstr>
      <vt:lpstr>Test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NEON</cp:lastModifiedBy>
  <dcterms:created xsi:type="dcterms:W3CDTF">2026-09-08T03:36:45Z</dcterms:created>
  <dcterms:modified xsi:type="dcterms:W3CDTF">2026-09-18T04:43:50Z</dcterms:modified>
</cp:coreProperties>
</file>